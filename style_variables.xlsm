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F0180AF0-ADC1-4328-A6D4-1B9860C3F445}" xr6:coauthVersionLast="47" xr6:coauthVersionMax="47" xr10:uidLastSave="{00000000-0000-0000-0000-000000000000}"/>
  <bookViews>
    <workbookView xWindow="-120" yWindow="-120" windowWidth="57840" windowHeight="31920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74" i="5" l="1"/>
  <c r="AD74" i="5"/>
  <c r="AB74" i="5"/>
  <c r="P74" i="5"/>
  <c r="O74" i="5"/>
  <c r="J74" i="5"/>
  <c r="I74" i="5"/>
  <c r="B74" i="5"/>
  <c r="AF25" i="5"/>
  <c r="AD25" i="5"/>
  <c r="AB25" i="5"/>
  <c r="B25" i="5"/>
  <c r="AF23" i="5"/>
  <c r="AD23" i="5"/>
  <c r="AB23" i="5"/>
  <c r="B23" i="5"/>
  <c r="AF64" i="5"/>
  <c r="AD64" i="5"/>
  <c r="AB64" i="5"/>
  <c r="AF38" i="5"/>
  <c r="AD38" i="5"/>
  <c r="AB38" i="5"/>
  <c r="B38" i="5"/>
  <c r="AF37" i="5"/>
  <c r="AD37" i="5"/>
  <c r="AB37" i="5"/>
  <c r="AF36" i="5"/>
  <c r="AD36" i="5"/>
  <c r="AB36" i="5"/>
  <c r="B36" i="5" s="1"/>
  <c r="AF35" i="5"/>
  <c r="AD35" i="5"/>
  <c r="AB35" i="5"/>
  <c r="AF34" i="5"/>
  <c r="AD34" i="5"/>
  <c r="AB34" i="5"/>
  <c r="AF63" i="5"/>
  <c r="AD63" i="5"/>
  <c r="AB63" i="5"/>
  <c r="AF62" i="5"/>
  <c r="AD62" i="5"/>
  <c r="AB62" i="5"/>
  <c r="P109" i="5"/>
  <c r="P108" i="5"/>
  <c r="P107" i="5"/>
  <c r="P97" i="5"/>
  <c r="P96" i="5"/>
  <c r="P95" i="5"/>
  <c r="P80" i="5"/>
  <c r="P79" i="5"/>
  <c r="P73" i="5"/>
  <c r="P72" i="5"/>
  <c r="P85" i="5"/>
  <c r="P90" i="5"/>
  <c r="P91" i="5"/>
  <c r="P115" i="5"/>
  <c r="P103" i="5"/>
  <c r="J80" i="5"/>
  <c r="I80" i="5"/>
  <c r="J90" i="5"/>
  <c r="J102" i="5"/>
  <c r="P102" i="5" s="1"/>
  <c r="J114" i="5"/>
  <c r="P114" i="5" s="1"/>
  <c r="J109" i="5"/>
  <c r="J97" i="5"/>
  <c r="O73" i="5"/>
  <c r="O72" i="5"/>
  <c r="O69" i="5"/>
  <c r="O68" i="5"/>
  <c r="O67" i="5"/>
  <c r="O79" i="5"/>
  <c r="O80" i="5"/>
  <c r="AF77" i="5"/>
  <c r="AD77" i="5"/>
  <c r="AB77" i="5"/>
  <c r="B77" i="5" s="1"/>
  <c r="AF75" i="5"/>
  <c r="AD75" i="5"/>
  <c r="AB75" i="5"/>
  <c r="J85" i="5"/>
  <c r="J69" i="5"/>
  <c r="I69" i="5"/>
  <c r="I68" i="5"/>
  <c r="I67" i="5"/>
  <c r="J82" i="5"/>
  <c r="J81" i="5"/>
  <c r="J93" i="5"/>
  <c r="J92" i="5"/>
  <c r="J104" i="5"/>
  <c r="J105" i="5"/>
  <c r="J116" i="5"/>
  <c r="J117" i="5"/>
  <c r="AF125" i="5"/>
  <c r="AD125" i="5"/>
  <c r="AB125" i="5"/>
  <c r="P125" i="5"/>
  <c r="B125" i="5"/>
  <c r="AF122" i="5"/>
  <c r="AD122" i="5"/>
  <c r="AB122" i="5"/>
  <c r="AF136" i="5"/>
  <c r="AD136" i="5"/>
  <c r="AB136" i="5"/>
  <c r="J136" i="5"/>
  <c r="I136" i="5"/>
  <c r="D136" i="5"/>
  <c r="AF135" i="5"/>
  <c r="AD135" i="5"/>
  <c r="AB135" i="5"/>
  <c r="J135" i="5"/>
  <c r="I135" i="5"/>
  <c r="D135" i="5"/>
  <c r="AF134" i="5"/>
  <c r="AD134" i="5"/>
  <c r="AB134" i="5"/>
  <c r="P134" i="5"/>
  <c r="AF133" i="5"/>
  <c r="AD133" i="5"/>
  <c r="AB133" i="5"/>
  <c r="B133" i="5" s="1"/>
  <c r="J133" i="5"/>
  <c r="I133" i="5"/>
  <c r="AF132" i="5"/>
  <c r="AD132" i="5"/>
  <c r="AB132" i="5"/>
  <c r="J132" i="5"/>
  <c r="I132" i="5"/>
  <c r="AF131" i="5"/>
  <c r="AD131" i="5"/>
  <c r="AB131" i="5"/>
  <c r="B131" i="5" s="1"/>
  <c r="J131" i="5"/>
  <c r="I131" i="5"/>
  <c r="AF130" i="5"/>
  <c r="AD130" i="5"/>
  <c r="AB130" i="5"/>
  <c r="J130" i="5"/>
  <c r="I130" i="5"/>
  <c r="AF129" i="5"/>
  <c r="AD129" i="5"/>
  <c r="AB129" i="5"/>
  <c r="B129" i="5" s="1"/>
  <c r="AF128" i="5"/>
  <c r="AD128" i="5"/>
  <c r="AB128" i="5"/>
  <c r="P143" i="5"/>
  <c r="P152" i="5"/>
  <c r="AF152" i="5"/>
  <c r="AD152" i="5"/>
  <c r="AB152" i="5"/>
  <c r="AF143" i="5"/>
  <c r="AD143" i="5"/>
  <c r="AB143" i="5"/>
  <c r="AF145" i="5"/>
  <c r="AD145" i="5"/>
  <c r="AB145" i="5"/>
  <c r="J145" i="5"/>
  <c r="I145" i="5"/>
  <c r="D145" i="5"/>
  <c r="AF144" i="5"/>
  <c r="AD144" i="5"/>
  <c r="AB144" i="5"/>
  <c r="J144" i="5"/>
  <c r="I144" i="5"/>
  <c r="D144" i="5"/>
  <c r="AF142" i="5"/>
  <c r="AD142" i="5"/>
  <c r="AB142" i="5"/>
  <c r="J142" i="5"/>
  <c r="I142" i="5"/>
  <c r="B142" i="5"/>
  <c r="AF141" i="5"/>
  <c r="AD141" i="5"/>
  <c r="AB141" i="5"/>
  <c r="J141" i="5"/>
  <c r="I141" i="5"/>
  <c r="AF140" i="5"/>
  <c r="AD140" i="5"/>
  <c r="AB140" i="5"/>
  <c r="J140" i="5"/>
  <c r="I140" i="5"/>
  <c r="AF139" i="5"/>
  <c r="AD139" i="5"/>
  <c r="AB139" i="5"/>
  <c r="J139" i="5"/>
  <c r="I139" i="5"/>
  <c r="AF138" i="5"/>
  <c r="AD138" i="5"/>
  <c r="AB138" i="5"/>
  <c r="AF137" i="5"/>
  <c r="AD137" i="5"/>
  <c r="AB137" i="5"/>
  <c r="J151" i="5"/>
  <c r="J150" i="5"/>
  <c r="I151" i="5"/>
  <c r="I150" i="5"/>
  <c r="J149" i="5"/>
  <c r="J148" i="5"/>
  <c r="I149" i="5"/>
  <c r="I148" i="5"/>
  <c r="AF147" i="5"/>
  <c r="AD147" i="5"/>
  <c r="AB147" i="5"/>
  <c r="B147" i="5" s="1"/>
  <c r="AF150" i="5"/>
  <c r="AD150" i="5"/>
  <c r="AB150" i="5"/>
  <c r="AF148" i="5"/>
  <c r="AD148" i="5"/>
  <c r="AB148" i="5"/>
  <c r="AF151" i="5"/>
  <c r="AD151" i="5"/>
  <c r="AB151" i="5"/>
  <c r="AF149" i="5"/>
  <c r="AD149" i="5"/>
  <c r="AB149" i="5"/>
  <c r="J124" i="5"/>
  <c r="J123" i="5"/>
  <c r="I123" i="5"/>
  <c r="I124" i="5"/>
  <c r="AF124" i="5"/>
  <c r="AD124" i="5"/>
  <c r="AB124" i="5"/>
  <c r="AF123" i="5"/>
  <c r="AD123" i="5"/>
  <c r="AB123" i="5"/>
  <c r="B123" i="5" s="1"/>
  <c r="J154" i="5"/>
  <c r="J153" i="5"/>
  <c r="J127" i="5"/>
  <c r="D154" i="5"/>
  <c r="D153" i="5"/>
  <c r="D127" i="5"/>
  <c r="J126" i="5"/>
  <c r="D126" i="5"/>
  <c r="O109" i="5"/>
  <c r="O97" i="5"/>
  <c r="O85" i="5"/>
  <c r="O114" i="5"/>
  <c r="O102" i="5"/>
  <c r="O90" i="5"/>
  <c r="AF90" i="5"/>
  <c r="AD90" i="5"/>
  <c r="AB90" i="5"/>
  <c r="I90" i="5"/>
  <c r="B90" i="5"/>
  <c r="AF102" i="5"/>
  <c r="AD102" i="5"/>
  <c r="AB102" i="5"/>
  <c r="I102" i="5"/>
  <c r="I114" i="5"/>
  <c r="AF114" i="5"/>
  <c r="AD114" i="5"/>
  <c r="AB114" i="5"/>
  <c r="AF88" i="5"/>
  <c r="AD88" i="5"/>
  <c r="AB88" i="5"/>
  <c r="B88" i="5" s="1"/>
  <c r="AF86" i="5"/>
  <c r="AD86" i="5"/>
  <c r="AB86" i="5"/>
  <c r="B86" i="5" s="1"/>
  <c r="AF85" i="5"/>
  <c r="AD85" i="5"/>
  <c r="AB85" i="5"/>
  <c r="I85" i="5"/>
  <c r="AF105" i="5"/>
  <c r="AD105" i="5"/>
  <c r="AB105" i="5"/>
  <c r="AF104" i="5"/>
  <c r="AD104" i="5"/>
  <c r="AB104" i="5"/>
  <c r="AF103" i="5"/>
  <c r="AD103" i="5"/>
  <c r="AB103" i="5"/>
  <c r="AF101" i="5"/>
  <c r="AD101" i="5"/>
  <c r="AB101" i="5"/>
  <c r="B101" i="5"/>
  <c r="AF100" i="5"/>
  <c r="AD100" i="5"/>
  <c r="AB100" i="5"/>
  <c r="B100" i="5" s="1"/>
  <c r="AF99" i="5"/>
  <c r="AD99" i="5"/>
  <c r="AB99" i="5"/>
  <c r="AF98" i="5"/>
  <c r="AD98" i="5"/>
  <c r="AB98" i="5"/>
  <c r="AF97" i="5"/>
  <c r="AD97" i="5"/>
  <c r="AB97" i="5"/>
  <c r="B97" i="5" s="1"/>
  <c r="I97" i="5"/>
  <c r="AF96" i="5"/>
  <c r="AD96" i="5"/>
  <c r="B96" i="5" s="1"/>
  <c r="AB96" i="5"/>
  <c r="AF95" i="5"/>
  <c r="AD95" i="5"/>
  <c r="AB95" i="5"/>
  <c r="B95" i="5" s="1"/>
  <c r="AF94" i="5"/>
  <c r="AF112" i="5"/>
  <c r="AD112" i="5"/>
  <c r="AB112" i="5"/>
  <c r="AF110" i="5"/>
  <c r="AD110" i="5"/>
  <c r="AB110" i="5"/>
  <c r="I109" i="5"/>
  <c r="AF109" i="5"/>
  <c r="AD109" i="5"/>
  <c r="AB109" i="5"/>
  <c r="AF107" i="5"/>
  <c r="AD107" i="5"/>
  <c r="AB107" i="5"/>
  <c r="AF117" i="5"/>
  <c r="AF116" i="5"/>
  <c r="AF115" i="5"/>
  <c r="AF113" i="5"/>
  <c r="AF111" i="5"/>
  <c r="AF108" i="5"/>
  <c r="AF106" i="5"/>
  <c r="AD117" i="5"/>
  <c r="AB117" i="5"/>
  <c r="AD116" i="5"/>
  <c r="AB116" i="5"/>
  <c r="AD115" i="5"/>
  <c r="AB115" i="5"/>
  <c r="AD113" i="5"/>
  <c r="AB113" i="5"/>
  <c r="AD111" i="5"/>
  <c r="AB111" i="5"/>
  <c r="AD108" i="5"/>
  <c r="AB108" i="5"/>
  <c r="I11" i="5"/>
  <c r="AF19" i="5"/>
  <c r="AD19" i="5"/>
  <c r="AB19" i="5"/>
  <c r="AF18" i="5"/>
  <c r="AD18" i="5"/>
  <c r="AB18" i="5"/>
  <c r="AF17" i="5"/>
  <c r="AD17" i="5"/>
  <c r="AB17" i="5"/>
  <c r="J15" i="5"/>
  <c r="J14" i="5"/>
  <c r="J13" i="5"/>
  <c r="J12" i="5"/>
  <c r="J11" i="5"/>
  <c r="J10" i="5"/>
  <c r="J9" i="5"/>
  <c r="J8" i="5"/>
  <c r="I13" i="5"/>
  <c r="I15" i="5"/>
  <c r="I14" i="5"/>
  <c r="I12" i="5"/>
  <c r="I10" i="5"/>
  <c r="I9" i="5"/>
  <c r="I8" i="5"/>
  <c r="AF162" i="5"/>
  <c r="AF161" i="5"/>
  <c r="AF160" i="5"/>
  <c r="AF159" i="5"/>
  <c r="AF158" i="5"/>
  <c r="AF157" i="5"/>
  <c r="AF156" i="5"/>
  <c r="AF155" i="5"/>
  <c r="AF154" i="5"/>
  <c r="AF153" i="5"/>
  <c r="AF146" i="5"/>
  <c r="AF127" i="5"/>
  <c r="AF126" i="5"/>
  <c r="AF121" i="5"/>
  <c r="AF120" i="5"/>
  <c r="AF119" i="5"/>
  <c r="AF93" i="5"/>
  <c r="AF92" i="5"/>
  <c r="AF91" i="5"/>
  <c r="AD162" i="5"/>
  <c r="AD161" i="5"/>
  <c r="AD160" i="5"/>
  <c r="AD159" i="5"/>
  <c r="AD158" i="5"/>
  <c r="AD157" i="5"/>
  <c r="AD156" i="5"/>
  <c r="AD155" i="5"/>
  <c r="AD154" i="5"/>
  <c r="AD153" i="5"/>
  <c r="AD146" i="5"/>
  <c r="AD127" i="5"/>
  <c r="AD126" i="5"/>
  <c r="AD121" i="5"/>
  <c r="AD120" i="5"/>
  <c r="AD119" i="5"/>
  <c r="AD93" i="5"/>
  <c r="AD92" i="5"/>
  <c r="AD91" i="5"/>
  <c r="AB162" i="5"/>
  <c r="AB161" i="5"/>
  <c r="AB160" i="5"/>
  <c r="AB159" i="5"/>
  <c r="AB158" i="5"/>
  <c r="AB157" i="5"/>
  <c r="AB156" i="5"/>
  <c r="AB155" i="5"/>
  <c r="AB154" i="5"/>
  <c r="AB153" i="5"/>
  <c r="AB146" i="5"/>
  <c r="AB127" i="5"/>
  <c r="AB126" i="5"/>
  <c r="AB121" i="5"/>
  <c r="AB120" i="5"/>
  <c r="AB119" i="5"/>
  <c r="AB93" i="5"/>
  <c r="I154" i="5"/>
  <c r="I153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I127" i="5"/>
  <c r="I126" i="5"/>
  <c r="AF89" i="5"/>
  <c r="AF87" i="5"/>
  <c r="AD89" i="5"/>
  <c r="AD87" i="5"/>
  <c r="AB92" i="5"/>
  <c r="AB91" i="5"/>
  <c r="AB89" i="5"/>
  <c r="AB87" i="5"/>
  <c r="AF84" i="5"/>
  <c r="AF83" i="5"/>
  <c r="AF82" i="5"/>
  <c r="AF81" i="5"/>
  <c r="AF80" i="5"/>
  <c r="AF79" i="5"/>
  <c r="AF78" i="5"/>
  <c r="AF76" i="5"/>
  <c r="AF73" i="5"/>
  <c r="AF72" i="5"/>
  <c r="AF71" i="5"/>
  <c r="AF70" i="5"/>
  <c r="AF69" i="5"/>
  <c r="AF68" i="5"/>
  <c r="AF67" i="5"/>
  <c r="AF66" i="5"/>
  <c r="AF65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3" i="5"/>
  <c r="AF32" i="5"/>
  <c r="AF31" i="5"/>
  <c r="AF30" i="5"/>
  <c r="AF29" i="5"/>
  <c r="AF28" i="5"/>
  <c r="AF27" i="5"/>
  <c r="AF26" i="5"/>
  <c r="AF24" i="5"/>
  <c r="AF22" i="5"/>
  <c r="AF16" i="5"/>
  <c r="AF15" i="5"/>
  <c r="AF14" i="5"/>
  <c r="AF13" i="5"/>
  <c r="AF12" i="5"/>
  <c r="AF11" i="5"/>
  <c r="AF10" i="5"/>
  <c r="AF9" i="5"/>
  <c r="AF8" i="5"/>
  <c r="AD84" i="5"/>
  <c r="AD83" i="5"/>
  <c r="AD82" i="5"/>
  <c r="AD81" i="5"/>
  <c r="AD80" i="5"/>
  <c r="AD79" i="5"/>
  <c r="AD78" i="5"/>
  <c r="AD76" i="5"/>
  <c r="AD73" i="5"/>
  <c r="AD72" i="5"/>
  <c r="AD71" i="5"/>
  <c r="AD70" i="5"/>
  <c r="AD69" i="5"/>
  <c r="AD68" i="5"/>
  <c r="AD67" i="5"/>
  <c r="AD66" i="5"/>
  <c r="AD65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3" i="5"/>
  <c r="AD32" i="5"/>
  <c r="AD31" i="5"/>
  <c r="AD30" i="5"/>
  <c r="AD29" i="5"/>
  <c r="AD28" i="5"/>
  <c r="AD27" i="5"/>
  <c r="AD26" i="5"/>
  <c r="AD24" i="5"/>
  <c r="AD22" i="5"/>
  <c r="AD16" i="5"/>
  <c r="AD15" i="5"/>
  <c r="AD14" i="5"/>
  <c r="AD13" i="5"/>
  <c r="AD12" i="5"/>
  <c r="AD11" i="5"/>
  <c r="AD10" i="5"/>
  <c r="AD9" i="5"/>
  <c r="AB84" i="5"/>
  <c r="AB83" i="5"/>
  <c r="AB82" i="5"/>
  <c r="AB81" i="5"/>
  <c r="AB80" i="5"/>
  <c r="AB79" i="5"/>
  <c r="AB78" i="5"/>
  <c r="AB76" i="5"/>
  <c r="AB73" i="5"/>
  <c r="AB72" i="5"/>
  <c r="AB71" i="5"/>
  <c r="AB70" i="5"/>
  <c r="AB69" i="5"/>
  <c r="AB68" i="5"/>
  <c r="AB67" i="5"/>
  <c r="AB66" i="5"/>
  <c r="AB65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3" i="5"/>
  <c r="AB32" i="5"/>
  <c r="AB31" i="5"/>
  <c r="AB30" i="5"/>
  <c r="AB29" i="5"/>
  <c r="AB28" i="5"/>
  <c r="AB27" i="5"/>
  <c r="AB26" i="5"/>
  <c r="AB24" i="5"/>
  <c r="AB22" i="5"/>
  <c r="AB16" i="5"/>
  <c r="AB15" i="5"/>
  <c r="AB14" i="5"/>
  <c r="AB13" i="5"/>
  <c r="AB12" i="5"/>
  <c r="AB11" i="5"/>
  <c r="AB10" i="5"/>
  <c r="AB9" i="5"/>
  <c r="AB8" i="5"/>
  <c r="D32" i="5"/>
  <c r="D33" i="5"/>
  <c r="D31" i="5"/>
  <c r="D30" i="5"/>
  <c r="D29" i="5"/>
  <c r="D26" i="5"/>
  <c r="D24" i="5"/>
  <c r="AD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43" i="5" l="1"/>
  <c r="B136" i="5"/>
  <c r="B152" i="5"/>
  <c r="B64" i="5"/>
  <c r="B37" i="5"/>
  <c r="B145" i="5"/>
  <c r="B63" i="5"/>
  <c r="B62" i="5"/>
  <c r="B140" i="5"/>
  <c r="B75" i="5"/>
  <c r="B134" i="5"/>
  <c r="B150" i="5"/>
  <c r="B122" i="5"/>
  <c r="B149" i="5"/>
  <c r="B139" i="5"/>
  <c r="B124" i="5"/>
  <c r="B130" i="5"/>
  <c r="B19" i="5"/>
  <c r="B138" i="5"/>
  <c r="B135" i="5"/>
  <c r="B132" i="5"/>
  <c r="B144" i="5"/>
  <c r="B104" i="5"/>
  <c r="B141" i="5"/>
  <c r="B114" i="5"/>
  <c r="B151" i="5"/>
  <c r="B148" i="5"/>
  <c r="B117" i="5"/>
  <c r="B116" i="5"/>
  <c r="B115" i="5"/>
  <c r="B113" i="5"/>
  <c r="B111" i="5"/>
  <c r="B108" i="5"/>
  <c r="B89" i="5"/>
  <c r="B105" i="5"/>
  <c r="B102" i="5"/>
  <c r="B85" i="5"/>
  <c r="B99" i="5"/>
  <c r="B87" i="5"/>
  <c r="B103" i="5"/>
  <c r="B98" i="5"/>
  <c r="B112" i="5"/>
  <c r="B109" i="5"/>
  <c r="B110" i="5"/>
  <c r="B107" i="5"/>
  <c r="B17" i="5"/>
  <c r="B162" i="5"/>
  <c r="B161" i="5"/>
  <c r="B160" i="5"/>
  <c r="B159" i="5"/>
  <c r="B158" i="5"/>
  <c r="B157" i="5"/>
  <c r="B154" i="5"/>
  <c r="B153" i="5"/>
  <c r="B127" i="5"/>
  <c r="B126" i="5"/>
  <c r="B15" i="5"/>
  <c r="B92" i="5"/>
  <c r="B91" i="5"/>
  <c r="B43" i="5"/>
  <c r="B80" i="5"/>
  <c r="B58" i="5"/>
  <c r="B51" i="5"/>
  <c r="B32" i="5"/>
  <c r="B81" i="5"/>
  <c r="B73" i="5"/>
  <c r="B53" i="5"/>
  <c r="B30" i="5"/>
  <c r="B78" i="5"/>
  <c r="B45" i="5"/>
  <c r="B24" i="5"/>
  <c r="B76" i="5"/>
  <c r="B82" i="5"/>
  <c r="B29" i="5"/>
  <c r="B79" i="5"/>
  <c r="B93" i="5"/>
  <c r="B18" i="5"/>
  <c r="B72" i="5"/>
  <c r="B60" i="5"/>
  <c r="B41" i="5"/>
  <c r="B59" i="5"/>
  <c r="B49" i="5"/>
  <c r="B44" i="5"/>
  <c r="B12" i="5"/>
  <c r="B31" i="5"/>
  <c r="B46" i="5"/>
  <c r="B69" i="5"/>
  <c r="B50" i="5"/>
  <c r="B48" i="5"/>
  <c r="B47" i="5"/>
  <c r="B68" i="5"/>
  <c r="B42" i="5"/>
  <c r="B56" i="5"/>
  <c r="B55" i="5"/>
  <c r="B54" i="5"/>
  <c r="B52" i="5"/>
  <c r="B26" i="5"/>
  <c r="B67" i="5"/>
  <c r="B61" i="5"/>
  <c r="B57" i="5"/>
  <c r="B33" i="5"/>
  <c r="B9" i="5"/>
  <c r="B11" i="5"/>
  <c r="B8" i="5"/>
  <c r="B14" i="5"/>
  <c r="B10" i="5"/>
  <c r="B1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<sst xmlns="http://schemas.openxmlformats.org/spreadsheetml/2006/main" count="1566" uniqueCount="281">
  <si>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</si>
  <si>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</si>
  <si>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</si>
  <si>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</si>
  <si>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</si>
  <si>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</si>
  <si>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</si>
  <si>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</si>
  <si>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</si>
  <si>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</si>
  <si>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</si>
  <si>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</si>
  <si>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</si>
  <si>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</si>
  <si>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</si>
  <si>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</si>
  <si>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</si>
  <si>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</si>
  <si>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</si>
  <si>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</si>
  <si>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</si>
  <si>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</si>
  <si>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</si>
  <si>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</si>
  <si>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</si>
  <si>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</si>
  <si>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</si>
  <si>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</si>
  <si>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</si>
  <si>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</si>
  <si>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</si>
  <si>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</si>
  <si>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</si>
  <si>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</si>
  <si>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</si>
  <si>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</si>
  <si>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</si>
  <si>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</si>
  <si>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</si>
  <si>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</si>
  <si>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</si>
  <si>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</si>
  <si>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</si>
  <si>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</si>
  <si>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</si>
  <si>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</si>
  <si>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</si>
  <si>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</si>
  <si>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</si>
  <si>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</si>
  <si>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</si>
  <si>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</si>
  <si>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</si>
  <si>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</si>
  <si>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</si>
  <si>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</si>
  <si>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</si>
  <si>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</si>
  <si>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</si>
  <si>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</si>
  <si>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</si>
  <si>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</si>
  <si>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</si>
  <si>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</si>
  <si>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</si>
  <si>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</si>
  <si>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</si>
  <si>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</si>
  <si>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</si>
  <si>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</si>
  <si>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</si>
  <si>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</si>
  <si>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</si>
  <si>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</si>
  <si>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</si>
  <si>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</si>
  <si>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</si>
  <si>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</si>
  <si>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</si>
  <si>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</si>
  <si>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</si>
  <si>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</si>
  <si>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</si>
  <si>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</si>
  <si>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</si>
  <si>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</si>
  <si>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</si>
  <si>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</si>
  <si>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</si>
  <si>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</si>
  <si>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</si>
  <si>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</si>
  <si>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</si>
  <si>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</si>
  <si>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</si>
  <si>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</si>
  <si>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</si>
  <si>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</si>
  <si>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</si>
  <si>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</si>
  <si>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</si>
  <si>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</si>
  <si>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</si>
  <si>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</si>
  <si>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</si>
  <si>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</si>
  <si>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</si>
  <si>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</si>
  <si>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</si>
  <si>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</si>
  <si>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</si>
  <si>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</si>
  <si>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</si>
  <si>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</si>
  <si>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</si>
  <si>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</si>
  <si>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</si>
  <si>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</si>
  <si>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</si>
  <si>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</si>
  <si>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</si>
  <si>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</si>
  <si>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</si>
  <si>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</si>
  <si>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</si>
  <si>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</si>
  <si>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</si>
  <si>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</si>
  <si>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</si>
  <si>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</si>
  <si>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</si>
  <si>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</si>
  <si>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</si>
  <si>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</si>
  <si>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</si>
  <si>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</si>
  <si>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</si>
  <si>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</si>
  <si>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</si>
  <si>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</si>
  <si>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</si>
  <si>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</si>
  <si>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</si>
  <si>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</si>
  <si>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</si>
  <si>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</si>
  <si>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</si>
  <si>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</si>
  <si>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</si>
  <si>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</si>
  <si>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</si>
  <si>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</si>
  <si>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</si>
  <si>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</si>
  <si>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</si>
  <si>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</si>
  <si>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</si>
  <si>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</si>
  <si>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</si>
  <si>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</si>
  <si>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</si>
  <si>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</si>
  <si>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</si>
  <si>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</si>
  <si>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</si>
  <si>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</si>
  <si>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</si>
  <si>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</si>
  <si>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</si>
  <si>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</si>
  <si>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</si>
  <si>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</si>
  <si>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</si>
  <si>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</si>
  <si>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</si>
  <si>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</si>
  <si>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</si>
  <si>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</si>
  <si>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</si>
  <si>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</si>
  <si>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</si>
  <si>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</si>
  <si>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</si>
  <si>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</si>
  <si>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</si>
  <si>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</si>
  <si>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</si>
  <si>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</si>
  <si>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</si>
  <si>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</si>
  <si>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</si>
  <si>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</si>
  <si>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</si>
  <si>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</si>
  <si>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</si>
  <si>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</si>
  <si>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</si>
  <si>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</si>
  <si>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</si>
  <si>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</si>
  <si>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</si>
  <si>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</si>
  <si>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</si>
  <si>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</si>
  <si>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</si>
  <si>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</si>
  <si>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</si>
  <si>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</si>
  <si>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</si>
  <si>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</si>
  <si>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</si>
  <si>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</si>
  <si>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</si>
  <si>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</si>
  <si>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</si>
  <si>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</si>
  <si>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</si>
  <si>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</si>
  <si>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</si>
  <si>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</si>
  <si>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"#df9a5e"</t>
  </si>
  <si>
    <t>"#c26d21"</t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</si>
  <si>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</si>
  <si>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</si>
  <si>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</si>
  <si>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</si>
  <si>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</si>
  <si>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</si>
  <si>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</si>
  <si>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</si>
  <si>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"#ffe16b"</t>
  </si>
  <si>
    <t>roads: minor</t>
  </si>
  <si>
    <t>roads: link</t>
  </si>
  <si>
    <t>mtb:winter</t>
  </si>
  <si>
    <t>"#ec9513"</t>
  </si>
  <si>
    <t>"#af6504"</t>
  </si>
  <si>
    <t>"#c46d21"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</si>
  <si>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</si>
  <si>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</si>
  <si>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</si>
  <si>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</si>
  <si>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</si>
  <si>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</si>
  <si>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</si>
  <si>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"#ffeea8"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</si>
  <si>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</si>
  <si>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</si>
  <si>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</si>
  <si>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</si>
  <si>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</si>
  <si>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</si>
  <si>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</si>
  <si>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</si>
  <si>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</si>
  <si>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</si>
  <si>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</si>
  <si>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</si>
  <si>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</si>
  <si>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</si>
  <si>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</si>
  <si>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"#363B31"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</si>
  <si>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</si>
  <si>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</si>
  <si>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</si>
  <si>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</si>
  <si>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</si>
  <si>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</si>
  <si>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</si>
  <si>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constructs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</si>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</sst>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9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EC9513"/>
        <bgColor indexed="64"/>
      </patternFill>
    </fill>
    <fill>
      <patternFill patternType="solid">
        <fgColor rgb="FFAF6504"/>
        <bgColor indexed="64"/>
      </patternFill>
    </fill>
    <fill>
      <patternFill patternType="solid">
        <fgColor rgb="FFC46D21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EEA8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63B31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9" borderId="0" xfId="0" applyFont="1" applyFill="1" applyAlignment="1">
      <alignment horizontal="left"/>
    </xf>
    <xf numFmtId="0" fontId="0" fillId="39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9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9" borderId="2" xfId="0" applyFont="1" applyFill="1" applyBorder="1" applyAlignment="1">
      <alignment horizontal="left"/>
    </xf>
    <xf numFmtId="49" fontId="0" fillId="39" borderId="3" xfId="0" applyNumberFormat="1" applyFill="1" applyBorder="1" applyAlignment="1">
      <alignment horizontal="left"/>
    </xf>
    <xf numFmtId="49" fontId="0" fillId="39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9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57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57" borderId="0" xfId="0" applyFont="1" applyFill="1"/>
    <xf numFmtId="0" fontId="1" fillId="56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40" borderId="0" xfId="0" applyFont="1" applyFill="1"/>
    <xf numFmtId="0" fontId="1" fillId="42" borderId="0" xfId="0" applyFont="1" applyFill="1"/>
    <xf numFmtId="0" fontId="1" fillId="41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50" borderId="0" xfId="0" applyFont="1" applyFill="1"/>
    <xf numFmtId="0" fontId="1" fillId="49" borderId="0" xfId="0" applyFont="1" applyFill="1"/>
    <xf numFmtId="0" fontId="1" fillId="51" borderId="0" xfId="0" applyFont="1" applyFill="1"/>
    <xf numFmtId="0" fontId="1" fillId="52" borderId="0" xfId="0" applyFont="1" applyFill="1"/>
    <xf numFmtId="0" fontId="1" fillId="53" borderId="0" xfId="0" applyFont="1" applyFill="1"/>
    <xf numFmtId="0" fontId="1" fillId="55" borderId="0" xfId="0" applyFont="1" applyFill="1"/>
    <xf numFmtId="0" fontId="1" fillId="54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/>
    <xf numFmtId="0" fontId="1" fillId="29" borderId="0" xfId="0" applyFont="1" applyFill="1"/>
    <xf numFmtId="0" fontId="1" fillId="33" borderId="0" xfId="0" applyFont="1" applyFill="1"/>
    <xf numFmtId="0" fontId="1" fillId="30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1" fillId="58" borderId="0" xfId="0" applyFont="1" applyFill="1"/>
    <xf numFmtId="0" fontId="1" fillId="59" borderId="0" xfId="0" applyFont="1" applyFill="1"/>
    <xf numFmtId="0" fontId="1" fillId="60" borderId="0" xfId="0" applyFont="1" applyFill="1"/>
    <xf numFmtId="0" fontId="0" fillId="61" borderId="0" xfId="0" applyFill="1"/>
    <xf numFmtId="0" fontId="1" fillId="63" borderId="0" xfId="0" applyFont="1" applyFill="1"/>
    <xf numFmtId="0" fontId="1" fillId="62" borderId="0" xfId="0" applyFont="1" applyFill="1"/>
    <xf numFmtId="0" fontId="1" fillId="64" borderId="0" xfId="0" applyFont="1" applyFill="1"/>
    <xf numFmtId="0" fontId="1" fillId="65" borderId="0" xfId="0" applyFont="1" applyFill="1"/>
    <xf numFmtId="0" fontId="1" fillId="61" borderId="0" xfId="0" applyFont="1" applyFill="1"/>
    <xf numFmtId="0" fontId="1" fillId="66" borderId="0" xfId="0" applyFont="1" applyFill="1"/>
    <xf numFmtId="0" fontId="0" fillId="67" borderId="0" xfId="0" applyFill="1"/>
    <xf numFmtId="0" fontId="1" fillId="67" borderId="0" xfId="0" applyFont="1" applyFill="1"/>
    <xf numFmtId="0" fontId="0" fillId="33" borderId="0" xfId="0" applyFill="1"/>
    <xf numFmtId="0" fontId="0" fillId="0" borderId="4" xfId="0" applyBorder="1"/>
    <xf numFmtId="0" fontId="1" fillId="68" borderId="0" xfId="0" applyFont="1" applyFill="1"/>
    <xf numFmtId="0" fontId="0" fillId="68" borderId="0" xfId="0" applyFill="1"/>
    <xf numFmtId="0" fontId="1" fillId="69" borderId="0" xfId="0" applyFont="1" applyFill="1"/>
    <xf numFmtId="0" fontId="0" fillId="69" borderId="0" xfId="0" applyFill="1"/>
    <xf numFmtId="0" fontId="0" fillId="64" borderId="0" xfId="0" applyFill="1"/>
    <xf numFmtId="0" fontId="1" fillId="70" borderId="0" xfId="0" applyFont="1" applyFill="1"/>
    <xf numFmtId="0" fontId="0" fillId="70" borderId="0" xfId="0" applyFill="1"/>
    <xf numFmtId="0" fontId="0" fillId="62" borderId="0" xfId="0" applyFill="1"/>
    <xf numFmtId="0" fontId="0" fillId="63" borderId="0" xfId="0" applyFill="1"/>
    <xf numFmtId="0" fontId="0" fillId="26" borderId="0" xfId="0" applyFill="1"/>
    <xf numFmtId="0" fontId="0" fillId="22" borderId="0" xfId="0" applyFill="1"/>
    <xf numFmtId="0" fontId="0" fillId="27" borderId="0" xfId="0" applyFill="1"/>
    <xf numFmtId="0" fontId="0" fillId="28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1" fillId="75" borderId="0" xfId="0" applyFont="1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1" fillId="85" borderId="0" xfId="0" applyFont="1" applyFill="1"/>
    <xf numFmtId="0" fontId="0" fillId="86" borderId="0" xfId="0" applyFill="1"/>
    <xf numFmtId="0" fontId="1" fillId="87" borderId="0" xfId="0" applyFont="1" applyFill="1"/>
    <xf numFmtId="0" fontId="1" fillId="88" borderId="0" xfId="0" applyFont="1" applyFill="1"/>
    <xf numFmtId="0" fontId="1" fillId="89" borderId="0" xfId="0" applyFont="1" applyFill="1"/>
    <xf numFmtId="0" fontId="1" fillId="82" borderId="0" xfId="0" applyFont="1" applyFill="1"/>
    <xf numFmtId="0" fontId="0" fillId="90" borderId="0" xfId="0" applyFill="1"/>
    <xf numFmtId="0" fontId="1" fillId="91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63"/>
  <sheetViews>
    <sheetView tabSelected="1" topLeftCell="A3" workbookViewId="0">
      <pane ySplit="4" topLeftCell="A31" activePane="bottomLeft" state="frozen"/>
      <selection activeCell="A3" sqref="A3"/>
      <selection pane="bottomLeft" activeCell="L109" sqref="L109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219</v>
      </c>
    </row>
    <row r="3" spans="1:33" s="27" customFormat="1" x14ac:dyDescent="0.25">
      <c r="B3" s="27" t="s">
        <v>0</v>
      </c>
      <c r="C3" s="27" t="s">
        <v>107</v>
      </c>
      <c r="I3" s="90" t="s">
        <v>158</v>
      </c>
      <c r="O3" s="27" t="s">
        <v>168</v>
      </c>
      <c r="U3" s="27" t="s">
        <v>163</v>
      </c>
    </row>
    <row r="4" spans="1:33" s="27" customFormat="1" x14ac:dyDescent="0.25">
      <c r="C4" s="27" t="s">
        <v>226</v>
      </c>
      <c r="F4" s="27" t="s">
        <v>227</v>
      </c>
      <c r="I4" s="90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0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0" t="s">
        <v>159</v>
      </c>
      <c r="J6" s="27" t="s">
        <v>161</v>
      </c>
      <c r="L6" s="27" t="s">
        <v>160</v>
      </c>
      <c r="M6" s="27" t="s">
        <v>162</v>
      </c>
      <c r="O6" s="27" t="s">
        <v>169</v>
      </c>
      <c r="P6" s="27" t="s">
        <v>171</v>
      </c>
      <c r="R6" s="27" t="s">
        <v>170</v>
      </c>
      <c r="S6" s="27" t="s">
        <v>172</v>
      </c>
      <c r="U6" s="27" t="s">
        <v>164</v>
      </c>
      <c r="V6" s="27" t="s">
        <v>166</v>
      </c>
      <c r="X6" s="27" t="s">
        <v>165</v>
      </c>
      <c r="Y6" s="27" t="s">
        <v>167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40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x14ac:dyDescent="0.25">
      <c r="B8" s="2" t="str">
        <f>_xlfn.CONCAT("@",AA8,AB8,AC8,AD8,AE8,AF8,AG8)</f>
        <v>@color-mtb:scale_0-</v>
      </c>
      <c r="C8" s="40" t="s">
        <v>173</v>
      </c>
      <c r="D8" s="41" t="s">
        <v>181</v>
      </c>
      <c r="E8"/>
      <c r="G8"/>
      <c r="H8"/>
      <c r="I8" s="100" t="str">
        <f t="shared" ref="I8:J15" si="0">C8</f>
        <v>"#0ac5a0"</v>
      </c>
      <c r="J8" s="107" t="str">
        <f t="shared" si="0"/>
        <v>"#00c7b0"</v>
      </c>
      <c r="K8"/>
      <c r="L8"/>
      <c r="M8"/>
      <c r="N8"/>
      <c r="O8" s="129"/>
      <c r="P8" s="129"/>
      <c r="Q8"/>
      <c r="R8" s="129"/>
      <c r="S8" s="129"/>
      <c r="U8"/>
      <c r="V8"/>
      <c r="W8"/>
      <c r="X8"/>
      <c r="Y8"/>
      <c r="Z8"/>
      <c r="AA8" s="2" t="s">
        <v>6</v>
      </c>
      <c r="AB8" s="2" t="str">
        <f t="shared" ref="AB8:AB84" si="1">IF(NOT(ISBLANK(AC8)),"-","")</f>
        <v>-</v>
      </c>
      <c r="AC8" s="2" t="s">
        <v>7</v>
      </c>
      <c r="AD8" s="2" t="str">
        <f t="shared" ref="AD8:AD87" si="2">IF(NOT(ISBLANK(AE8)),"_","")</f>
        <v>_</v>
      </c>
      <c r="AE8" s="2" t="s">
        <v>9</v>
      </c>
      <c r="AF8" s="2" t="str">
        <f t="shared" ref="AF8:AF87" si="3">IF(NOT(ISBLANK(AG8)),"_","")</f>
        <v/>
      </c>
      <c r="AG8" s="2"/>
    </row>
    <row r="9" spans="1:33" x14ac:dyDescent="0.25">
      <c r="B9" s="2" t="str">
        <f t="shared" ref="B9:B19" si="4">_xlfn.CONCAT("@",AA9,AB9,AC9,AD9,AE9,AF9,AG9)</f>
        <v>@color-mtb:scale_0</v>
      </c>
      <c r="C9" s="42" t="s">
        <v>174</v>
      </c>
      <c r="D9" s="43" t="s">
        <v>182</v>
      </c>
      <c r="E9"/>
      <c r="G9"/>
      <c r="H9"/>
      <c r="I9" s="101" t="str">
        <f t="shared" si="0"/>
        <v>"#75e009"</v>
      </c>
      <c r="J9" s="108" t="str">
        <f t="shared" si="0"/>
        <v>"#66cc00"</v>
      </c>
      <c r="K9"/>
      <c r="L9"/>
      <c r="M9"/>
      <c r="N9"/>
      <c r="O9" s="129"/>
      <c r="P9" s="129"/>
      <c r="Q9"/>
      <c r="R9" s="129"/>
      <c r="S9" s="129"/>
      <c r="U9"/>
      <c r="V9"/>
      <c r="W9"/>
      <c r="X9"/>
      <c r="Y9"/>
      <c r="Z9"/>
      <c r="AA9" s="2" t="s">
        <v>6</v>
      </c>
      <c r="AB9" s="2" t="str">
        <f t="shared" si="1"/>
        <v>-</v>
      </c>
      <c r="AC9" s="2" t="s">
        <v>7</v>
      </c>
      <c r="AD9" s="2" t="str">
        <f t="shared" si="2"/>
        <v>_</v>
      </c>
      <c r="AE9" s="2">
        <v>0</v>
      </c>
      <c r="AF9" s="2" t="str">
        <f t="shared" si="3"/>
        <v/>
      </c>
    </row>
    <row r="10" spans="1:33" x14ac:dyDescent="0.25">
      <c r="B10" s="2" t="str">
        <f t="shared" si="4"/>
        <v>@color-mtb:scale_1</v>
      </c>
      <c r="C10" s="44" t="s">
        <v>175</v>
      </c>
      <c r="D10" s="45" t="s">
        <v>183</v>
      </c>
      <c r="E10"/>
      <c r="G10"/>
      <c r="H10"/>
      <c r="I10" s="103" t="str">
        <f t="shared" si="0"/>
        <v>"#d7dc00"</v>
      </c>
      <c r="J10" s="109" t="str">
        <f t="shared" si="0"/>
        <v>"#c5c900"</v>
      </c>
      <c r="K10"/>
      <c r="L10"/>
      <c r="M10"/>
      <c r="N10"/>
      <c r="O10" s="129"/>
      <c r="P10" s="129"/>
      <c r="Q10"/>
      <c r="R10" s="129"/>
      <c r="S10" s="129"/>
      <c r="U10"/>
      <c r="V10"/>
      <c r="W10"/>
      <c r="X10"/>
      <c r="Y10"/>
      <c r="Z10"/>
      <c r="AA10" s="2" t="s">
        <v>6</v>
      </c>
      <c r="AB10" s="2" t="str">
        <f t="shared" si="1"/>
        <v>-</v>
      </c>
      <c r="AC10" s="2" t="s">
        <v>7</v>
      </c>
      <c r="AD10" s="2" t="str">
        <f t="shared" si="2"/>
        <v>_</v>
      </c>
      <c r="AE10" s="2">
        <v>1</v>
      </c>
      <c r="AF10" s="2" t="str">
        <f t="shared" si="3"/>
        <v/>
      </c>
    </row>
    <row r="11" spans="1:33" x14ac:dyDescent="0.25">
      <c r="B11" s="2" t="str">
        <f t="shared" si="4"/>
        <v>@color-mtb:scale_2</v>
      </c>
      <c r="C11" s="46" t="s">
        <v>176</v>
      </c>
      <c r="D11" s="47" t="s">
        <v>184</v>
      </c>
      <c r="E11"/>
      <c r="G11"/>
      <c r="H11"/>
      <c r="I11" s="114" t="str">
        <f t="shared" si="0"/>
        <v>"#feb13e"</v>
      </c>
      <c r="J11" s="110" t="str">
        <f t="shared" si="0"/>
        <v>"#f09000"</v>
      </c>
      <c r="K11"/>
      <c r="L11"/>
      <c r="M11"/>
      <c r="N11"/>
      <c r="O11" s="129"/>
      <c r="P11" s="129"/>
      <c r="Q11"/>
      <c r="R11" s="129"/>
      <c r="S11" s="129"/>
      <c r="U11"/>
      <c r="V11"/>
      <c r="W11"/>
      <c r="X11"/>
      <c r="Y11"/>
      <c r="Z11"/>
      <c r="AA11" s="2" t="s">
        <v>6</v>
      </c>
      <c r="AB11" s="2" t="str">
        <f t="shared" si="1"/>
        <v>-</v>
      </c>
      <c r="AC11" s="2" t="s">
        <v>7</v>
      </c>
      <c r="AD11" s="2" t="str">
        <f t="shared" si="2"/>
        <v>_</v>
      </c>
      <c r="AE11" s="2">
        <v>2</v>
      </c>
      <c r="AF11" s="2" t="str">
        <f t="shared" si="3"/>
        <v/>
      </c>
    </row>
    <row r="12" spans="1:33" x14ac:dyDescent="0.25">
      <c r="B12" s="2" t="str">
        <f t="shared" si="4"/>
        <v>@color-mtb:scale_3</v>
      </c>
      <c r="C12" s="48" t="s">
        <v>177</v>
      </c>
      <c r="D12" s="48" t="s">
        <v>177</v>
      </c>
      <c r="E12"/>
      <c r="G12"/>
      <c r="H12"/>
      <c r="I12" s="102" t="str">
        <f t="shared" si="0"/>
        <v>"#ff4f5e"</v>
      </c>
      <c r="J12" s="102" t="str">
        <f t="shared" si="0"/>
        <v>"#ff4f5e"</v>
      </c>
      <c r="K12"/>
      <c r="L12"/>
      <c r="M12"/>
      <c r="N12"/>
      <c r="O12" s="129"/>
      <c r="P12" s="129"/>
      <c r="Q12"/>
      <c r="R12" s="129"/>
      <c r="S12" s="129"/>
      <c r="U12"/>
      <c r="V12"/>
      <c r="W12"/>
      <c r="X12"/>
      <c r="Y12"/>
      <c r="Z12"/>
      <c r="AA12" s="2" t="s">
        <v>6</v>
      </c>
      <c r="AB12" s="2" t="str">
        <f t="shared" si="1"/>
        <v>-</v>
      </c>
      <c r="AC12" s="2" t="s">
        <v>7</v>
      </c>
      <c r="AD12" s="2" t="str">
        <f t="shared" si="2"/>
        <v>_</v>
      </c>
      <c r="AE12" s="2">
        <v>3</v>
      </c>
      <c r="AF12" s="2" t="str">
        <f t="shared" si="3"/>
        <v/>
      </c>
    </row>
    <row r="13" spans="1:33" x14ac:dyDescent="0.25">
      <c r="B13" s="2" t="str">
        <f t="shared" si="4"/>
        <v>@color-mtb:scale_4</v>
      </c>
      <c r="C13" s="49" t="s">
        <v>178</v>
      </c>
      <c r="D13" s="50" t="s">
        <v>185</v>
      </c>
      <c r="E13"/>
      <c r="G13"/>
      <c r="H13"/>
      <c r="I13" s="104" t="str">
        <f t="shared" si="0"/>
        <v>"#e50bdd"</v>
      </c>
      <c r="J13" s="111" t="str">
        <f t="shared" si="0"/>
        <v>"#d600ce"</v>
      </c>
      <c r="K13"/>
      <c r="L13"/>
      <c r="M13"/>
      <c r="N13"/>
      <c r="O13" s="129"/>
      <c r="P13" s="129"/>
      <c r="Q13"/>
      <c r="R13" s="129"/>
      <c r="S13" s="129"/>
      <c r="U13"/>
      <c r="V13"/>
      <c r="W13"/>
      <c r="X13"/>
      <c r="Y13"/>
      <c r="Z13"/>
      <c r="AA13" s="2" t="s">
        <v>6</v>
      </c>
      <c r="AB13" s="2" t="str">
        <f t="shared" si="1"/>
        <v>-</v>
      </c>
      <c r="AC13" s="2" t="s">
        <v>7</v>
      </c>
      <c r="AD13" s="2" t="str">
        <f t="shared" si="2"/>
        <v>_</v>
      </c>
      <c r="AE13" s="2">
        <v>4</v>
      </c>
      <c r="AF13" s="2" t="str">
        <f t="shared" si="3"/>
        <v/>
      </c>
    </row>
    <row r="14" spans="1:33" x14ac:dyDescent="0.25">
      <c r="B14" s="2" t="str">
        <f t="shared" si="4"/>
        <v>@color-mtb:scale_5</v>
      </c>
      <c r="C14" s="51" t="s">
        <v>179</v>
      </c>
      <c r="D14" s="52" t="s">
        <v>186</v>
      </c>
      <c r="E14"/>
      <c r="G14"/>
      <c r="H14"/>
      <c r="I14" s="106" t="str">
        <f t="shared" si="0"/>
        <v>"#9600c8"</v>
      </c>
      <c r="J14" s="112" t="str">
        <f t="shared" si="0"/>
        <v>"#7a3391"</v>
      </c>
      <c r="K14"/>
      <c r="L14"/>
      <c r="M14"/>
      <c r="N14"/>
      <c r="O14" s="129"/>
      <c r="P14" s="129"/>
      <c r="Q14"/>
      <c r="R14" s="129"/>
      <c r="S14" s="129"/>
      <c r="U14"/>
      <c r="V14"/>
      <c r="W14"/>
      <c r="X14"/>
      <c r="Y14"/>
      <c r="Z14"/>
      <c r="AA14" s="2" t="s">
        <v>6</v>
      </c>
      <c r="AB14" s="2" t="str">
        <f t="shared" si="1"/>
        <v>-</v>
      </c>
      <c r="AC14" s="2" t="s">
        <v>7</v>
      </c>
      <c r="AD14" s="2" t="str">
        <f t="shared" si="2"/>
        <v>_</v>
      </c>
      <c r="AE14" s="2">
        <v>5</v>
      </c>
      <c r="AF14" s="2" t="str">
        <f t="shared" si="3"/>
        <v/>
      </c>
    </row>
    <row r="15" spans="1:33" x14ac:dyDescent="0.25">
      <c r="B15" s="2" t="str">
        <f t="shared" si="4"/>
        <v>@color-mtb:scale_6</v>
      </c>
      <c r="C15" s="53" t="s">
        <v>180</v>
      </c>
      <c r="D15" s="54" t="s">
        <v>187</v>
      </c>
      <c r="E15"/>
      <c r="G15"/>
      <c r="H15"/>
      <c r="I15" s="105" t="str">
        <f t="shared" si="0"/>
        <v>"#8100ac"</v>
      </c>
      <c r="J15" s="113" t="str">
        <f t="shared" si="0"/>
        <v>"#593266"</v>
      </c>
      <c r="K15"/>
      <c r="L15"/>
      <c r="M15"/>
      <c r="N15"/>
      <c r="O15" s="129"/>
      <c r="P15" s="129"/>
      <c r="Q15"/>
      <c r="R15" s="129"/>
      <c r="S15" s="129"/>
      <c r="U15"/>
      <c r="V15"/>
      <c r="W15"/>
      <c r="X15"/>
      <c r="Y15"/>
      <c r="Z15"/>
      <c r="AA15" s="2" t="s">
        <v>6</v>
      </c>
      <c r="AB15" s="2" t="str">
        <f t="shared" si="1"/>
        <v>-</v>
      </c>
      <c r="AC15" s="2" t="s">
        <v>7</v>
      </c>
      <c r="AD15" s="2" t="str">
        <f t="shared" si="2"/>
        <v>_</v>
      </c>
      <c r="AE15" s="2">
        <v>6</v>
      </c>
      <c r="AF15" s="2" t="str">
        <f t="shared" si="3"/>
        <v/>
      </c>
    </row>
    <row r="16" spans="1:33" x14ac:dyDescent="0.25">
      <c r="B16" s="2"/>
      <c r="C16"/>
      <c r="D16"/>
      <c r="E16"/>
      <c r="F16"/>
      <c r="G16"/>
      <c r="H16"/>
      <c r="J16"/>
      <c r="K16"/>
      <c r="L16"/>
      <c r="M16"/>
      <c r="N16"/>
      <c r="O16"/>
      <c r="P16"/>
      <c r="Q16"/>
      <c r="R16"/>
      <c r="S16"/>
      <c r="U16"/>
      <c r="V16"/>
      <c r="W16"/>
      <c r="X16"/>
      <c r="Y16"/>
      <c r="Z16"/>
      <c r="AA16" s="2"/>
      <c r="AB16" s="2" t="str">
        <f t="shared" si="1"/>
        <v/>
      </c>
      <c r="AC16" s="2"/>
      <c r="AD16" s="2" t="str">
        <f t="shared" si="2"/>
        <v/>
      </c>
      <c r="AE16" s="2"/>
      <c r="AF16" s="29" t="str">
        <f t="shared" si="3"/>
        <v/>
      </c>
    </row>
    <row r="17" spans="1:37" x14ac:dyDescent="0.25">
      <c r="B17" s="2" t="str">
        <f t="shared" si="4"/>
        <v>@color-mtb:winter_1</v>
      </c>
      <c r="C17" s="129"/>
      <c r="D17" s="129"/>
      <c r="E17"/>
      <c r="F17" s="129"/>
      <c r="G17" s="129"/>
      <c r="H17"/>
      <c r="I17" s="129"/>
      <c r="J17" s="129"/>
      <c r="K17"/>
      <c r="L17" s="129"/>
      <c r="M17" s="129"/>
      <c r="N17"/>
      <c r="O17" s="42" t="s">
        <v>174</v>
      </c>
      <c r="P17" s="43" t="s">
        <v>182</v>
      </c>
      <c r="Q17"/>
      <c r="R17"/>
      <c r="S17"/>
      <c r="U17" s="129"/>
      <c r="V17" s="129"/>
      <c r="W17"/>
      <c r="X17" s="129"/>
      <c r="Y17" s="129"/>
      <c r="Z17"/>
      <c r="AA17" s="2" t="s">
        <v>6</v>
      </c>
      <c r="AB17" s="2" t="str">
        <f t="shared" ref="AB17" si="5">IF(NOT(ISBLANK(AC17)),"-","")</f>
        <v>-</v>
      </c>
      <c r="AC17" s="2" t="s">
        <v>233</v>
      </c>
      <c r="AD17" s="2" t="str">
        <f t="shared" ref="AD17" si="6">IF(NOT(ISBLANK(AE17)),"_","")</f>
        <v>_</v>
      </c>
      <c r="AE17" s="2">
        <v>1</v>
      </c>
      <c r="AF17" s="2" t="str">
        <f t="shared" ref="AF17" si="7">IF(NOT(ISBLANK(AG17)),"_","")</f>
        <v/>
      </c>
    </row>
    <row r="18" spans="1:37" x14ac:dyDescent="0.25">
      <c r="B18" s="2" t="str">
        <f t="shared" si="4"/>
        <v>@color-mtb:winter_2</v>
      </c>
      <c r="C18" s="129"/>
      <c r="D18" s="129"/>
      <c r="E18"/>
      <c r="F18" s="129"/>
      <c r="G18" s="129"/>
      <c r="H18"/>
      <c r="I18" s="129"/>
      <c r="J18" s="129"/>
      <c r="K18"/>
      <c r="L18" s="129"/>
      <c r="M18" s="129"/>
      <c r="N18"/>
      <c r="O18" s="44" t="s">
        <v>175</v>
      </c>
      <c r="P18" s="45" t="s">
        <v>183</v>
      </c>
      <c r="Q18"/>
      <c r="R18"/>
      <c r="S18"/>
      <c r="U18" s="129"/>
      <c r="V18" s="129"/>
      <c r="W18"/>
      <c r="X18" s="129"/>
      <c r="Y18" s="129"/>
      <c r="Z18"/>
      <c r="AA18" s="2" t="s">
        <v>6</v>
      </c>
      <c r="AB18" s="2" t="str">
        <f t="shared" ref="AB18:AB19" si="8">IF(NOT(ISBLANK(AC18)),"-","")</f>
        <v>-</v>
      </c>
      <c r="AC18" s="2" t="s">
        <v>233</v>
      </c>
      <c r="AD18" s="2" t="str">
        <f t="shared" ref="AD18:AD19" si="9">IF(NOT(ISBLANK(AE18)),"_","")</f>
        <v>_</v>
      </c>
      <c r="AE18" s="2">
        <v>2</v>
      </c>
      <c r="AF18" s="2" t="str">
        <f t="shared" ref="AF18:AF19" si="10">IF(NOT(ISBLANK(AG18)),"_","")</f>
        <v/>
      </c>
    </row>
    <row r="19" spans="1:37" x14ac:dyDescent="0.25">
      <c r="B19" s="2" t="str">
        <f t="shared" si="4"/>
        <v>@color-mtb:winter_3</v>
      </c>
      <c r="C19" s="129"/>
      <c r="D19" s="129"/>
      <c r="E19"/>
      <c r="F19" s="129"/>
      <c r="G19" s="129"/>
      <c r="H19"/>
      <c r="I19" s="129"/>
      <c r="J19" s="129"/>
      <c r="K19"/>
      <c r="L19" s="129"/>
      <c r="M19" s="129"/>
      <c r="N19"/>
      <c r="O19" s="46" t="s">
        <v>176</v>
      </c>
      <c r="P19" s="47" t="s">
        <v>184</v>
      </c>
      <c r="Q19"/>
      <c r="R19"/>
      <c r="S19"/>
      <c r="U19" s="129"/>
      <c r="V19" s="129"/>
      <c r="W19"/>
      <c r="X19" s="129"/>
      <c r="Y19" s="129"/>
      <c r="Z19"/>
      <c r="AA19" s="2" t="s">
        <v>6</v>
      </c>
      <c r="AB19" s="2" t="str">
        <f t="shared" si="8"/>
        <v>-</v>
      </c>
      <c r="AC19" s="2" t="s">
        <v>233</v>
      </c>
      <c r="AD19" s="2" t="str">
        <f t="shared" si="9"/>
        <v>_</v>
      </c>
      <c r="AE19" s="2">
        <v>3</v>
      </c>
      <c r="AF19" s="2" t="str">
        <f t="shared" si="10"/>
        <v/>
      </c>
    </row>
    <row r="20" spans="1:37" x14ac:dyDescent="0.25">
      <c r="B20" s="2"/>
      <c r="C20"/>
      <c r="D20"/>
      <c r="E20"/>
      <c r="F20"/>
      <c r="G20"/>
      <c r="H20"/>
      <c r="J20"/>
      <c r="K20"/>
      <c r="L20"/>
      <c r="M20"/>
      <c r="N20"/>
      <c r="O20"/>
      <c r="P20"/>
      <c r="Q20"/>
      <c r="R20"/>
      <c r="S20"/>
      <c r="U20"/>
      <c r="V20"/>
      <c r="W20"/>
      <c r="X20"/>
      <c r="Y20"/>
      <c r="Z20"/>
      <c r="AA20" s="2"/>
      <c r="AB20" s="2"/>
      <c r="AC20" s="2"/>
      <c r="AD20" s="2"/>
      <c r="AE20" s="2"/>
    </row>
    <row r="21" spans="1:37" x14ac:dyDescent="0.25">
      <c r="B21" s="2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  <c r="S21"/>
      <c r="U21"/>
      <c r="V21"/>
      <c r="W21"/>
      <c r="X21"/>
      <c r="Y21"/>
      <c r="Z21"/>
      <c r="AA21" s="2"/>
      <c r="AB21" s="2"/>
      <c r="AC21" s="2"/>
      <c r="AD21" s="2"/>
      <c r="AE21" s="2"/>
    </row>
    <row r="22" spans="1:37" s="2" customFormat="1" x14ac:dyDescent="0.25">
      <c r="A22" s="4" t="s">
        <v>41</v>
      </c>
      <c r="B22" s="4"/>
      <c r="C22" s="4"/>
      <c r="D22" s="5"/>
      <c r="F22" s="5"/>
      <c r="G22" s="5"/>
      <c r="I22" s="5"/>
      <c r="J22" s="5"/>
      <c r="L22" s="5"/>
      <c r="M22" s="5"/>
      <c r="O22" s="5"/>
      <c r="P22" s="5"/>
      <c r="R22" s="5"/>
      <c r="S22" s="5"/>
      <c r="U22" s="5"/>
      <c r="V22" s="5"/>
      <c r="X22" s="5"/>
      <c r="Y22" s="5"/>
      <c r="AA22" s="5"/>
      <c r="AB22" s="5" t="str">
        <f t="shared" si="1"/>
        <v/>
      </c>
      <c r="AC22" s="5"/>
      <c r="AD22" s="5" t="str">
        <f t="shared" si="2"/>
        <v/>
      </c>
      <c r="AE22" s="5"/>
      <c r="AF22" s="5" t="str">
        <f t="shared" si="3"/>
        <v/>
      </c>
      <c r="AG22" s="5"/>
    </row>
    <row r="23" spans="1:37" x14ac:dyDescent="0.25">
      <c r="B23" s="2" t="str">
        <f t="shared" ref="B23" si="11">_xlfn.CONCAT("@",AA23,AB23,AC23,AD23,AE23,AF23,AG23)</f>
        <v>@color-cycleway_case</v>
      </c>
      <c r="C23" s="98" t="s">
        <v>229</v>
      </c>
      <c r="D23" s="98" t="s">
        <v>229</v>
      </c>
      <c r="E23"/>
      <c r="F23" s="82" t="s">
        <v>217</v>
      </c>
      <c r="G23"/>
      <c r="H23"/>
      <c r="J23"/>
      <c r="K23"/>
      <c r="L23"/>
      <c r="M23"/>
      <c r="N23"/>
      <c r="O23"/>
      <c r="P23"/>
      <c r="Q23"/>
      <c r="R23"/>
      <c r="S23"/>
      <c r="U23"/>
      <c r="V23"/>
      <c r="W23"/>
      <c r="X23"/>
      <c r="Y23"/>
      <c r="Z23"/>
      <c r="AA23" s="2" t="s">
        <v>6</v>
      </c>
      <c r="AB23" s="2" t="str">
        <f t="shared" ref="AB23" si="12">IF(NOT(ISBLANK(AC23)),"-","")</f>
        <v>-</v>
      </c>
      <c r="AC23" s="2" t="s">
        <v>12</v>
      </c>
      <c r="AD23" s="2" t="str">
        <f t="shared" ref="AD23" si="13">IF(NOT(ISBLANK(AE23)),"_","")</f>
        <v>_</v>
      </c>
      <c r="AE23" s="2" t="s">
        <v>17</v>
      </c>
      <c r="AF23" s="2" t="str">
        <f t="shared" ref="AF23" si="14">IF(NOT(ISBLANK(AG23)),"_","")</f>
        <v/>
      </c>
    </row>
    <row r="24" spans="1:37" x14ac:dyDescent="0.25">
      <c r="B24" s="2" t="str">
        <f t="shared" ref="B24:B26" si="15">_xlfn.CONCAT("@",AA24,AB24,AC24,AD24,AE24,AF24,AG24)</f>
        <v>@color-cycleway_line</v>
      </c>
      <c r="C24" s="55" t="s">
        <v>188</v>
      </c>
      <c r="D24" s="30" t="str">
        <f>C24</f>
        <v>"#3046d7"</v>
      </c>
      <c r="E24"/>
      <c r="F24"/>
      <c r="G24"/>
      <c r="H24"/>
      <c r="J24"/>
      <c r="K24"/>
      <c r="L24"/>
      <c r="M24"/>
      <c r="N24"/>
      <c r="O24"/>
      <c r="P24"/>
      <c r="Q24"/>
      <c r="R24"/>
      <c r="S24"/>
      <c r="U24"/>
      <c r="V24"/>
      <c r="W24"/>
      <c r="X24"/>
      <c r="Y24"/>
      <c r="Z24"/>
      <c r="AA24" s="2" t="s">
        <v>6</v>
      </c>
      <c r="AB24" s="2" t="str">
        <f t="shared" si="1"/>
        <v>-</v>
      </c>
      <c r="AC24" s="2" t="s">
        <v>12</v>
      </c>
      <c r="AD24" s="2" t="str">
        <f t="shared" si="2"/>
        <v>_</v>
      </c>
      <c r="AE24" s="2" t="s">
        <v>13</v>
      </c>
      <c r="AF24" s="2" t="str">
        <f t="shared" si="3"/>
        <v/>
      </c>
    </row>
    <row r="25" spans="1:37" x14ac:dyDescent="0.25">
      <c r="B25" s="2" t="str">
        <f t="shared" ref="B25" si="16">_xlfn.CONCAT("@",AA25,AB25,AC25,AD25,AE25,AF25,AG25)</f>
        <v>@color-footway_case</v>
      </c>
      <c r="C25" s="98" t="s">
        <v>229</v>
      </c>
      <c r="D25" s="98" t="s">
        <v>229</v>
      </c>
      <c r="E25"/>
      <c r="F25" s="82" t="s">
        <v>217</v>
      </c>
      <c r="G25"/>
      <c r="H25"/>
      <c r="J25"/>
      <c r="K25"/>
      <c r="L25"/>
      <c r="M25"/>
      <c r="N25"/>
      <c r="O25"/>
      <c r="P25"/>
      <c r="Q25"/>
      <c r="R25"/>
      <c r="S25"/>
      <c r="U25"/>
      <c r="V25"/>
      <c r="W25"/>
      <c r="X25"/>
      <c r="Y25"/>
      <c r="Z25"/>
      <c r="AA25" s="2" t="s">
        <v>6</v>
      </c>
      <c r="AB25" s="2" t="str">
        <f t="shared" ref="AB25" si="17">IF(NOT(ISBLANK(AC25)),"-","")</f>
        <v>-</v>
      </c>
      <c r="AC25" s="2" t="s">
        <v>35</v>
      </c>
      <c r="AD25" s="2" t="str">
        <f t="shared" ref="AD25" si="18">IF(NOT(ISBLANK(AE25)),"_","")</f>
        <v>_</v>
      </c>
      <c r="AE25" s="2" t="s">
        <v>17</v>
      </c>
      <c r="AF25" s="2" t="str">
        <f t="shared" ref="AF25" si="19">IF(NOT(ISBLANK(AG25)),"_","")</f>
        <v/>
      </c>
      <c r="AG25" s="2"/>
    </row>
    <row r="26" spans="1:37" x14ac:dyDescent="0.25">
      <c r="B26" s="2" t="str">
        <f t="shared" si="15"/>
        <v>@color-footway_line</v>
      </c>
      <c r="C26" s="56" t="s">
        <v>189</v>
      </c>
      <c r="D26" s="31" t="str">
        <f>C26</f>
        <v>"#a43820"</v>
      </c>
      <c r="E26"/>
      <c r="F26"/>
      <c r="G26"/>
      <c r="H26"/>
      <c r="J26"/>
      <c r="K26"/>
      <c r="L26"/>
      <c r="M26"/>
      <c r="N26"/>
      <c r="O26"/>
      <c r="P26"/>
      <c r="Q26"/>
      <c r="R26"/>
      <c r="S26"/>
      <c r="U26"/>
      <c r="V26"/>
      <c r="W26"/>
      <c r="X26"/>
      <c r="Y26"/>
      <c r="Z26"/>
      <c r="AA26" s="2" t="s">
        <v>6</v>
      </c>
      <c r="AB26" s="2" t="str">
        <f t="shared" si="1"/>
        <v>-</v>
      </c>
      <c r="AC26" s="2" t="s">
        <v>35</v>
      </c>
      <c r="AD26" s="2" t="str">
        <f t="shared" si="2"/>
        <v>_</v>
      </c>
      <c r="AE26" s="2" t="s">
        <v>13</v>
      </c>
      <c r="AF26" s="2" t="str">
        <f t="shared" si="3"/>
        <v/>
      </c>
      <c r="AG26" s="2"/>
    </row>
    <row r="27" spans="1:37" x14ac:dyDescent="0.25">
      <c r="C27"/>
      <c r="D27"/>
      <c r="E27"/>
      <c r="F27"/>
      <c r="G27"/>
      <c r="H27"/>
      <c r="J27"/>
      <c r="K27"/>
      <c r="L27"/>
      <c r="M27"/>
      <c r="N27"/>
      <c r="O27"/>
      <c r="P27"/>
      <c r="Q27"/>
      <c r="R27"/>
      <c r="S27"/>
      <c r="U27"/>
      <c r="V27"/>
      <c r="W27"/>
      <c r="X27"/>
      <c r="Y27"/>
      <c r="Z27"/>
      <c r="AA27" s="2"/>
      <c r="AB27" s="2" t="str">
        <f t="shared" si="1"/>
        <v/>
      </c>
      <c r="AC27" s="2"/>
      <c r="AD27" s="2" t="str">
        <f t="shared" si="2"/>
        <v/>
      </c>
      <c r="AE27" s="2"/>
      <c r="AF27" s="29" t="str">
        <f t="shared" si="3"/>
        <v/>
      </c>
    </row>
    <row r="28" spans="1:37" s="2" customFormat="1" x14ac:dyDescent="0.25">
      <c r="A28" s="4" t="s">
        <v>42</v>
      </c>
      <c r="B28" s="4"/>
      <c r="C28" s="4"/>
      <c r="D28" s="5"/>
      <c r="F28" s="5"/>
      <c r="G28" s="5"/>
      <c r="I28" s="5"/>
      <c r="J28" s="5"/>
      <c r="L28" s="5"/>
      <c r="M28" s="5"/>
      <c r="O28" s="5"/>
      <c r="P28" s="5"/>
      <c r="R28" s="5"/>
      <c r="S28" s="5"/>
      <c r="U28" s="5"/>
      <c r="V28" s="5"/>
      <c r="X28" s="5"/>
      <c r="Y28" s="5"/>
      <c r="AA28" s="5"/>
      <c r="AB28" s="5" t="str">
        <f t="shared" si="1"/>
        <v/>
      </c>
      <c r="AC28" s="5"/>
      <c r="AD28" s="5" t="str">
        <f t="shared" si="2"/>
        <v/>
      </c>
      <c r="AE28" s="5"/>
      <c r="AF28" s="5" t="str">
        <f t="shared" si="3"/>
        <v/>
      </c>
      <c r="AG28" s="5"/>
    </row>
    <row r="29" spans="1:37" x14ac:dyDescent="0.25">
      <c r="B29" s="2" t="str">
        <f t="shared" ref="B29:B33" si="20">_xlfn.CONCAT("@",AA29,AB29,AC29,AD29,AE29,AF29,AG29)</f>
        <v>@color-obstacle_vegetation</v>
      </c>
      <c r="C29" s="57" t="s">
        <v>190</v>
      </c>
      <c r="D29" s="32" t="str">
        <f>C29</f>
        <v>"#4a9100"</v>
      </c>
      <c r="E29"/>
      <c r="F29"/>
      <c r="G29"/>
      <c r="H29"/>
      <c r="J29"/>
      <c r="K29"/>
      <c r="L29"/>
      <c r="M29"/>
      <c r="N29"/>
      <c r="O29"/>
      <c r="P29"/>
      <c r="Q29"/>
      <c r="R29"/>
      <c r="S29"/>
      <c r="U29"/>
      <c r="V29"/>
      <c r="W29"/>
      <c r="X29"/>
      <c r="Y29"/>
      <c r="Z29"/>
      <c r="AA29" s="2" t="s">
        <v>6</v>
      </c>
      <c r="AB29" s="2" t="str">
        <f t="shared" si="1"/>
        <v>-</v>
      </c>
      <c r="AC29" s="2" t="s">
        <v>36</v>
      </c>
      <c r="AD29" s="2" t="str">
        <f t="shared" si="2"/>
        <v>_</v>
      </c>
      <c r="AE29" s="2" t="s">
        <v>37</v>
      </c>
      <c r="AF29" s="2" t="str">
        <f t="shared" si="3"/>
        <v/>
      </c>
      <c r="AG29" s="2"/>
      <c r="AH29" s="2"/>
      <c r="AI29" s="2"/>
      <c r="AJ29" s="2"/>
      <c r="AK29" s="2"/>
    </row>
    <row r="30" spans="1:37" x14ac:dyDescent="0.25">
      <c r="B30" s="2" t="str">
        <f t="shared" si="20"/>
        <v>@color-surface_mud</v>
      </c>
      <c r="C30" s="58" t="s">
        <v>191</v>
      </c>
      <c r="D30" s="33" t="str">
        <f>C30</f>
        <v>"#0e84ed"</v>
      </c>
      <c r="E30"/>
      <c r="F30"/>
      <c r="G30"/>
      <c r="H30"/>
      <c r="J30"/>
      <c r="K30"/>
      <c r="L30"/>
      <c r="M30"/>
      <c r="N30"/>
      <c r="O30"/>
      <c r="P30"/>
      <c r="Q30"/>
      <c r="R30"/>
      <c r="S30"/>
      <c r="U30"/>
      <c r="V30"/>
      <c r="W30"/>
      <c r="X30"/>
      <c r="Y30"/>
      <c r="Z30"/>
      <c r="AA30" s="2" t="s">
        <v>6</v>
      </c>
      <c r="AB30" s="2" t="str">
        <f t="shared" si="1"/>
        <v>-</v>
      </c>
      <c r="AC30" s="2" t="s">
        <v>38</v>
      </c>
      <c r="AD30" s="2" t="str">
        <f t="shared" si="2"/>
        <v>_</v>
      </c>
      <c r="AE30" s="2" t="s">
        <v>39</v>
      </c>
      <c r="AF30" s="2" t="str">
        <f t="shared" si="3"/>
        <v/>
      </c>
      <c r="AG30" s="2"/>
    </row>
    <row r="31" spans="1:37" x14ac:dyDescent="0.25">
      <c r="B31" s="2" t="str">
        <f t="shared" si="20"/>
        <v>@color-access_no</v>
      </c>
      <c r="C31" s="59" t="s">
        <v>192</v>
      </c>
      <c r="D31" s="34" t="str">
        <f>C31</f>
        <v>"#ff003d"</v>
      </c>
      <c r="E31"/>
      <c r="F31"/>
      <c r="G31"/>
      <c r="H31"/>
      <c r="J31"/>
      <c r="K31"/>
      <c r="L31"/>
      <c r="M31"/>
      <c r="N31"/>
      <c r="O31"/>
      <c r="P31"/>
      <c r="Q31"/>
      <c r="R31"/>
      <c r="S31"/>
      <c r="U31"/>
      <c r="V31"/>
      <c r="W31"/>
      <c r="X31"/>
      <c r="Y31"/>
      <c r="Z31"/>
      <c r="AA31" s="2" t="s">
        <v>6</v>
      </c>
      <c r="AB31" s="2" t="str">
        <f t="shared" si="1"/>
        <v>-</v>
      </c>
      <c r="AC31" s="2" t="s">
        <v>43</v>
      </c>
      <c r="AD31" s="2" t="str">
        <f t="shared" si="2"/>
        <v>_</v>
      </c>
      <c r="AE31" s="2" t="s">
        <v>44</v>
      </c>
      <c r="AF31" s="2" t="str">
        <f t="shared" si="3"/>
        <v/>
      </c>
      <c r="AG31" s="2"/>
    </row>
    <row r="32" spans="1:37" x14ac:dyDescent="0.25">
      <c r="B32" s="2" t="str">
        <f t="shared" si="20"/>
        <v>@color-access_discouraged</v>
      </c>
      <c r="C32" s="60" t="s">
        <v>193</v>
      </c>
      <c r="D32" s="35" t="str">
        <f>C32</f>
        <v>"#ff6a00"</v>
      </c>
      <c r="E32"/>
      <c r="F32"/>
      <c r="G32"/>
      <c r="H32"/>
      <c r="J32"/>
      <c r="K32"/>
      <c r="L32"/>
      <c r="M32"/>
      <c r="N32"/>
      <c r="O32"/>
      <c r="P32"/>
      <c r="Q32"/>
      <c r="R32"/>
      <c r="S32"/>
      <c r="U32"/>
      <c r="V32"/>
      <c r="W32"/>
      <c r="X32"/>
      <c r="Y32"/>
      <c r="Z32"/>
      <c r="AA32" s="2" t="s">
        <v>6</v>
      </c>
      <c r="AB32" s="2" t="str">
        <f t="shared" si="1"/>
        <v>-</v>
      </c>
      <c r="AC32" s="2" t="s">
        <v>43</v>
      </c>
      <c r="AD32" s="2" t="str">
        <f t="shared" si="2"/>
        <v>_</v>
      </c>
      <c r="AE32" s="2" t="s">
        <v>45</v>
      </c>
      <c r="AF32" s="2" t="str">
        <f t="shared" si="3"/>
        <v/>
      </c>
      <c r="AG32" s="2"/>
    </row>
    <row r="33" spans="1:33" x14ac:dyDescent="0.25">
      <c r="B33" s="2" t="str">
        <f t="shared" si="20"/>
        <v>@color-contours_line</v>
      </c>
      <c r="C33" s="61" t="s">
        <v>194</v>
      </c>
      <c r="D33" s="36" t="str">
        <f>C33</f>
        <v>"#916f4c"</v>
      </c>
      <c r="E33"/>
      <c r="F33"/>
      <c r="G33"/>
      <c r="H33"/>
      <c r="J33"/>
      <c r="K33"/>
      <c r="L33"/>
      <c r="M33"/>
      <c r="N33"/>
      <c r="O33"/>
      <c r="P33"/>
      <c r="Q33"/>
      <c r="R33"/>
      <c r="S33"/>
      <c r="U33"/>
      <c r="V33"/>
      <c r="W33"/>
      <c r="X33"/>
      <c r="Y33"/>
      <c r="Z33"/>
      <c r="AA33" s="2" t="s">
        <v>6</v>
      </c>
      <c r="AB33" s="2" t="str">
        <f t="shared" si="1"/>
        <v>-</v>
      </c>
      <c r="AC33" s="2" t="s">
        <v>70</v>
      </c>
      <c r="AD33" s="2" t="str">
        <f t="shared" si="2"/>
        <v>_</v>
      </c>
      <c r="AE33" s="2" t="s">
        <v>13</v>
      </c>
      <c r="AF33" s="2" t="str">
        <f t="shared" si="3"/>
        <v/>
      </c>
      <c r="AG33" s="2"/>
    </row>
    <row r="34" spans="1:33" x14ac:dyDescent="0.25">
      <c r="C34"/>
      <c r="D34"/>
      <c r="E34"/>
      <c r="F34"/>
      <c r="G34"/>
      <c r="H34"/>
      <c r="J34"/>
      <c r="K34"/>
      <c r="L34"/>
      <c r="M34"/>
      <c r="N34"/>
      <c r="O34"/>
      <c r="P34"/>
      <c r="Q34"/>
      <c r="R34"/>
      <c r="S34"/>
      <c r="U34"/>
      <c r="V34"/>
      <c r="W34"/>
      <c r="X34"/>
      <c r="Y34"/>
      <c r="Z34"/>
      <c r="AB34" s="29" t="str">
        <f t="shared" ref="AB34:AB36" si="21">IF(NOT(ISBLANK(AC34)),"-","")</f>
        <v/>
      </c>
      <c r="AD34" s="29" t="str">
        <f t="shared" ref="AD34:AD36" si="22">IF(NOT(ISBLANK(AE34)),"_","")</f>
        <v/>
      </c>
      <c r="AF34" s="29" t="str">
        <f t="shared" ref="AF34:AF36" si="23">IF(NOT(ISBLANK(AG34)),"_","")</f>
        <v/>
      </c>
    </row>
    <row r="35" spans="1:33" s="2" customFormat="1" x14ac:dyDescent="0.25">
      <c r="A35" s="4" t="s">
        <v>268</v>
      </c>
      <c r="B35" s="4"/>
      <c r="C35" s="4"/>
      <c r="D35" s="5"/>
      <c r="F35" s="5"/>
      <c r="G35" s="5"/>
      <c r="I35" s="5"/>
      <c r="J35" s="5"/>
      <c r="L35" s="5"/>
      <c r="M35" s="5"/>
      <c r="O35" s="5"/>
      <c r="P35" s="5"/>
      <c r="R35" s="5"/>
      <c r="S35" s="5"/>
      <c r="U35" s="5"/>
      <c r="V35" s="5"/>
      <c r="X35" s="5"/>
      <c r="Y35" s="5"/>
      <c r="AA35" s="5"/>
      <c r="AB35" s="5" t="str">
        <f t="shared" si="21"/>
        <v/>
      </c>
      <c r="AC35" s="5"/>
      <c r="AD35" s="5" t="str">
        <f t="shared" si="22"/>
        <v/>
      </c>
      <c r="AE35" s="5"/>
      <c r="AF35" s="5" t="str">
        <f t="shared" si="23"/>
        <v/>
      </c>
      <c r="AG35" s="5"/>
    </row>
    <row r="36" spans="1:33" x14ac:dyDescent="0.25">
      <c r="B36" s="2" t="str">
        <f t="shared" ref="B36" si="24">_xlfn.CONCAT("@",AA36,AB36,AC36,AD36,AE36,AF36,AG36)</f>
        <v>@color-building_area_residential</v>
      </c>
      <c r="C36" s="161" t="s">
        <v>273</v>
      </c>
      <c r="D36"/>
      <c r="E36"/>
      <c r="F36" s="162" t="s">
        <v>262</v>
      </c>
      <c r="G36"/>
      <c r="H36"/>
      <c r="J36"/>
      <c r="K36"/>
      <c r="L36"/>
      <c r="M36"/>
      <c r="N36"/>
      <c r="O36"/>
      <c r="P36"/>
      <c r="Q36"/>
      <c r="R36"/>
      <c r="S36"/>
      <c r="U36"/>
      <c r="V36"/>
      <c r="W36"/>
      <c r="X36"/>
      <c r="Y36"/>
      <c r="Z36"/>
      <c r="AA36" s="2" t="s">
        <v>6</v>
      </c>
      <c r="AB36" s="2" t="str">
        <f t="shared" si="21"/>
        <v>-</v>
      </c>
      <c r="AC36" s="2" t="s">
        <v>269</v>
      </c>
      <c r="AD36" s="2" t="str">
        <f t="shared" si="22"/>
        <v>_</v>
      </c>
      <c r="AE36" s="2" t="s">
        <v>275</v>
      </c>
      <c r="AF36" s="2" t="str">
        <f t="shared" si="23"/>
        <v>_</v>
      </c>
      <c r="AG36" s="2" t="s">
        <v>67</v>
      </c>
    </row>
    <row r="37" spans="1:33" x14ac:dyDescent="0.25">
      <c r="B37" s="2" t="str">
        <f t="shared" ref="B37" si="25">_xlfn.CONCAT("@",AA37,AB37,AC37,AD37,AE37,AF37,AG37)</f>
        <v>@color-building_area_generic</v>
      </c>
      <c r="C37" s="160" t="s">
        <v>272</v>
      </c>
      <c r="D37"/>
      <c r="E37"/>
      <c r="F37" s="159" t="s">
        <v>270</v>
      </c>
      <c r="G37"/>
      <c r="H37"/>
      <c r="J37"/>
      <c r="K37"/>
      <c r="L37"/>
      <c r="M37"/>
      <c r="N37"/>
      <c r="O37"/>
      <c r="P37"/>
      <c r="Q37"/>
      <c r="R37"/>
      <c r="S37"/>
      <c r="U37"/>
      <c r="V37"/>
      <c r="W37"/>
      <c r="X37"/>
      <c r="Y37"/>
      <c r="Z37"/>
      <c r="AA37" s="2" t="s">
        <v>6</v>
      </c>
      <c r="AB37" s="2" t="str">
        <f t="shared" ref="AB37" si="26">IF(NOT(ISBLANK(AC37)),"-","")</f>
        <v>-</v>
      </c>
      <c r="AC37" s="2" t="s">
        <v>269</v>
      </c>
      <c r="AD37" s="2" t="str">
        <f t="shared" ref="AD37" si="27">IF(NOT(ISBLANK(AE37)),"_","")</f>
        <v>_</v>
      </c>
      <c r="AE37" s="2" t="s">
        <v>275</v>
      </c>
      <c r="AF37" s="2" t="str">
        <f t="shared" ref="AF37" si="28">IF(NOT(ISBLANK(AG37)),"_","")</f>
        <v>_</v>
      </c>
      <c r="AG37" s="2" t="s">
        <v>271</v>
      </c>
    </row>
    <row r="38" spans="1:33" x14ac:dyDescent="0.25">
      <c r="B38" s="2" t="str">
        <f t="shared" ref="B38" si="29">_xlfn.CONCAT("@",AA38,AB38,AC38,AD38,AE38,AF38,AG38)</f>
        <v>@color-building_line_top</v>
      </c>
      <c r="C38" s="160" t="s">
        <v>272</v>
      </c>
      <c r="D38"/>
      <c r="E38"/>
      <c r="F38" s="159" t="s">
        <v>270</v>
      </c>
      <c r="G38"/>
      <c r="H38"/>
      <c r="J38"/>
      <c r="K38"/>
      <c r="L38"/>
      <c r="M38"/>
      <c r="N38"/>
      <c r="O38"/>
      <c r="P38"/>
      <c r="Q38"/>
      <c r="R38"/>
      <c r="S38"/>
      <c r="U38"/>
      <c r="V38"/>
      <c r="W38"/>
      <c r="X38"/>
      <c r="Y38"/>
      <c r="Z38"/>
      <c r="AA38" s="2" t="s">
        <v>6</v>
      </c>
      <c r="AB38" s="2" t="str">
        <f t="shared" ref="AB38" si="30">IF(NOT(ISBLANK(AC38)),"-","")</f>
        <v>-</v>
      </c>
      <c r="AC38" s="2" t="s">
        <v>269</v>
      </c>
      <c r="AD38" s="2" t="str">
        <f t="shared" ref="AD38" si="31">IF(NOT(ISBLANK(AE38)),"_","")</f>
        <v>_</v>
      </c>
      <c r="AE38" s="2" t="s">
        <v>13</v>
      </c>
      <c r="AF38" s="2" t="str">
        <f t="shared" ref="AF38" si="32">IF(NOT(ISBLANK(AG38)),"_","")</f>
        <v>_</v>
      </c>
      <c r="AG38" s="2" t="s">
        <v>274</v>
      </c>
    </row>
    <row r="39" spans="1:33" x14ac:dyDescent="0.25"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U39"/>
      <c r="V39"/>
      <c r="W39"/>
      <c r="X39"/>
      <c r="Y39"/>
      <c r="Z39"/>
      <c r="AB39" s="29" t="str">
        <f t="shared" si="1"/>
        <v/>
      </c>
      <c r="AD39" s="29" t="str">
        <f t="shared" si="2"/>
        <v/>
      </c>
      <c r="AF39" s="29" t="str">
        <f t="shared" si="3"/>
        <v/>
      </c>
    </row>
    <row r="40" spans="1:33" s="2" customFormat="1" x14ac:dyDescent="0.25">
      <c r="A40" s="4" t="s">
        <v>267</v>
      </c>
      <c r="B40" s="4"/>
      <c r="C40" s="4"/>
      <c r="D40" s="5"/>
      <c r="F40" s="5"/>
      <c r="G40" s="5"/>
      <c r="I40" s="5"/>
      <c r="J40" s="5"/>
      <c r="L40" s="5"/>
      <c r="M40" s="5"/>
      <c r="O40" s="5"/>
      <c r="P40" s="5"/>
      <c r="R40" s="5"/>
      <c r="S40" s="5"/>
      <c r="U40" s="5"/>
      <c r="V40" s="5"/>
      <c r="X40" s="5"/>
      <c r="Y40" s="5"/>
      <c r="AA40" s="5"/>
      <c r="AB40" s="5" t="str">
        <f t="shared" si="1"/>
        <v/>
      </c>
      <c r="AC40" s="5"/>
      <c r="AD40" s="5" t="str">
        <f t="shared" si="2"/>
        <v/>
      </c>
      <c r="AE40" s="5"/>
      <c r="AF40" s="5" t="str">
        <f t="shared" si="3"/>
        <v/>
      </c>
      <c r="AG40" s="5"/>
    </row>
    <row r="41" spans="1:33" x14ac:dyDescent="0.25">
      <c r="B41" s="2" t="str">
        <f t="shared" ref="B41:B61" si="33">_xlfn.CONCAT("@",AA41,AB41,AC41,AD41,AE41,AF41,AG41)</f>
        <v>@color-background</v>
      </c>
      <c r="C41" s="62" t="s">
        <v>195</v>
      </c>
      <c r="D41"/>
      <c r="E41"/>
      <c r="F41" s="82" t="s">
        <v>217</v>
      </c>
      <c r="G41"/>
      <c r="H41"/>
      <c r="J41"/>
      <c r="K41"/>
      <c r="L41"/>
      <c r="M41"/>
      <c r="N41"/>
      <c r="O41"/>
      <c r="P41"/>
      <c r="Q41"/>
      <c r="R41"/>
      <c r="S41"/>
      <c r="U41"/>
      <c r="V41"/>
      <c r="W41"/>
      <c r="X41"/>
      <c r="Y41"/>
      <c r="Z41"/>
      <c r="AA41" s="2" t="s">
        <v>6</v>
      </c>
      <c r="AB41" s="2" t="str">
        <f t="shared" si="1"/>
        <v>-</v>
      </c>
      <c r="AC41" s="2" t="s">
        <v>69</v>
      </c>
      <c r="AD41" s="2" t="str">
        <f t="shared" si="2"/>
        <v/>
      </c>
      <c r="AE41" s="2"/>
      <c r="AF41" s="2" t="str">
        <f t="shared" si="3"/>
        <v/>
      </c>
      <c r="AG41" s="2"/>
    </row>
    <row r="42" spans="1:33" x14ac:dyDescent="0.25">
      <c r="B42" s="2" t="str">
        <f t="shared" si="33"/>
        <v>@color-water</v>
      </c>
      <c r="C42" s="63" t="s">
        <v>196</v>
      </c>
      <c r="D42" s="64" t="s">
        <v>197</v>
      </c>
      <c r="E42"/>
      <c r="F42" s="143" t="s">
        <v>249</v>
      </c>
      <c r="G42"/>
      <c r="H42"/>
      <c r="J42"/>
      <c r="K42"/>
      <c r="L42"/>
      <c r="M42"/>
      <c r="N42"/>
      <c r="O42"/>
      <c r="P42"/>
      <c r="Q42"/>
      <c r="R42"/>
      <c r="S42"/>
      <c r="U42"/>
      <c r="V42"/>
      <c r="W42"/>
      <c r="X42"/>
      <c r="Y42"/>
      <c r="Z42"/>
      <c r="AA42" s="2" t="s">
        <v>6</v>
      </c>
      <c r="AB42" s="2" t="str">
        <f t="shared" si="1"/>
        <v>-</v>
      </c>
      <c r="AC42" s="2" t="s">
        <v>14</v>
      </c>
      <c r="AD42" s="2" t="str">
        <f t="shared" si="2"/>
        <v/>
      </c>
      <c r="AE42" s="2"/>
      <c r="AF42" s="2" t="str">
        <f t="shared" si="3"/>
        <v/>
      </c>
      <c r="AG42" s="2"/>
    </row>
    <row r="43" spans="1:33" x14ac:dyDescent="0.25">
      <c r="B43" s="2" t="str">
        <f t="shared" si="33"/>
        <v>@color-landcover_field</v>
      </c>
      <c r="C43" s="65" t="s">
        <v>198</v>
      </c>
      <c r="D43" s="66" t="s">
        <v>199</v>
      </c>
      <c r="E43"/>
      <c r="F43" s="146" t="s">
        <v>252</v>
      </c>
      <c r="G43"/>
      <c r="H43"/>
      <c r="J43"/>
      <c r="K43"/>
      <c r="L43"/>
      <c r="M43"/>
      <c r="N43"/>
      <c r="O43"/>
      <c r="P43"/>
      <c r="Q43"/>
      <c r="R43"/>
      <c r="S43"/>
      <c r="U43"/>
      <c r="V43"/>
      <c r="W43"/>
      <c r="X43"/>
      <c r="Y43"/>
      <c r="Z43"/>
      <c r="AA43" s="2" t="s">
        <v>6</v>
      </c>
      <c r="AB43" s="2" t="str">
        <f t="shared" si="1"/>
        <v>-</v>
      </c>
      <c r="AC43" s="2" t="s">
        <v>54</v>
      </c>
      <c r="AD43" s="2" t="str">
        <f t="shared" si="2"/>
        <v>_</v>
      </c>
      <c r="AE43" s="2" t="s">
        <v>49</v>
      </c>
      <c r="AF43" s="2" t="str">
        <f t="shared" si="3"/>
        <v/>
      </c>
      <c r="AG43" s="2"/>
    </row>
    <row r="44" spans="1:33" x14ac:dyDescent="0.25">
      <c r="B44" s="2" t="str">
        <f t="shared" si="33"/>
        <v>@color-landcover_meadow</v>
      </c>
      <c r="C44" s="67" t="s">
        <v>200</v>
      </c>
      <c r="D44" s="68" t="s">
        <v>201</v>
      </c>
      <c r="E44"/>
      <c r="F44" s="145" t="s">
        <v>251</v>
      </c>
      <c r="G44"/>
      <c r="H44"/>
      <c r="J44"/>
      <c r="K44"/>
      <c r="L44"/>
      <c r="M44"/>
      <c r="N44"/>
      <c r="O44"/>
      <c r="P44"/>
      <c r="Q44"/>
      <c r="R44"/>
      <c r="S44"/>
      <c r="U44"/>
      <c r="V44"/>
      <c r="W44"/>
      <c r="X44"/>
      <c r="Y44"/>
      <c r="Z44"/>
      <c r="AA44" s="2" t="s">
        <v>6</v>
      </c>
      <c r="AB44" s="2" t="str">
        <f t="shared" si="1"/>
        <v>-</v>
      </c>
      <c r="AC44" s="2" t="s">
        <v>54</v>
      </c>
      <c r="AD44" s="2" t="str">
        <f t="shared" si="2"/>
        <v>_</v>
      </c>
      <c r="AE44" s="2" t="s">
        <v>50</v>
      </c>
      <c r="AF44" s="2" t="str">
        <f t="shared" si="3"/>
        <v/>
      </c>
      <c r="AG44" s="2"/>
    </row>
    <row r="45" spans="1:33" x14ac:dyDescent="0.25">
      <c r="B45" s="2" t="str">
        <f t="shared" si="33"/>
        <v>@color-landcover_bare_rock</v>
      </c>
      <c r="C45" s="69" t="s">
        <v>202</v>
      </c>
      <c r="D45"/>
      <c r="E45"/>
      <c r="F45" s="148" t="s">
        <v>256</v>
      </c>
      <c r="G45"/>
      <c r="H45"/>
      <c r="J45"/>
      <c r="K45"/>
      <c r="L45"/>
      <c r="M45"/>
      <c r="N45"/>
      <c r="O45"/>
      <c r="P45"/>
      <c r="Q45"/>
      <c r="R45"/>
      <c r="S45"/>
      <c r="U45"/>
      <c r="V45"/>
      <c r="W45"/>
      <c r="X45"/>
      <c r="Y45"/>
      <c r="Z45"/>
      <c r="AA45" s="2" t="s">
        <v>6</v>
      </c>
      <c r="AB45" s="2" t="str">
        <f t="shared" si="1"/>
        <v>-</v>
      </c>
      <c r="AC45" s="2" t="s">
        <v>54</v>
      </c>
      <c r="AD45" s="2" t="str">
        <f t="shared" si="2"/>
        <v>_</v>
      </c>
      <c r="AE45" s="2" t="s">
        <v>51</v>
      </c>
      <c r="AF45" s="2" t="str">
        <f t="shared" si="3"/>
        <v/>
      </c>
      <c r="AG45" s="2"/>
    </row>
    <row r="46" spans="1:33" x14ac:dyDescent="0.25">
      <c r="B46" s="2" t="str">
        <f t="shared" si="33"/>
        <v>@color-landcover_sand</v>
      </c>
      <c r="C46" s="70" t="s">
        <v>203</v>
      </c>
      <c r="D46"/>
      <c r="E46"/>
      <c r="F46" s="149" t="s">
        <v>257</v>
      </c>
      <c r="G46"/>
      <c r="H46"/>
      <c r="J46"/>
      <c r="K46"/>
      <c r="L46"/>
      <c r="M46"/>
      <c r="N46"/>
      <c r="O46"/>
      <c r="P46"/>
      <c r="Q46"/>
      <c r="R46"/>
      <c r="S46"/>
      <c r="U46"/>
      <c r="V46"/>
      <c r="W46"/>
      <c r="X46"/>
      <c r="Y46"/>
      <c r="Z46"/>
      <c r="AA46" s="2" t="s">
        <v>6</v>
      </c>
      <c r="AB46" s="2" t="str">
        <f t="shared" si="1"/>
        <v>-</v>
      </c>
      <c r="AC46" s="2" t="s">
        <v>54</v>
      </c>
      <c r="AD46" s="2" t="str">
        <f t="shared" si="2"/>
        <v>_</v>
      </c>
      <c r="AE46" s="2" t="s">
        <v>52</v>
      </c>
      <c r="AF46" s="2" t="str">
        <f t="shared" si="3"/>
        <v/>
      </c>
      <c r="AG46" s="2"/>
    </row>
    <row r="47" spans="1:33" x14ac:dyDescent="0.25">
      <c r="B47" s="2" t="str">
        <f t="shared" si="33"/>
        <v>@color-landcover_allotments</v>
      </c>
      <c r="C47" s="71" t="s">
        <v>204</v>
      </c>
      <c r="D47"/>
      <c r="E47"/>
      <c r="F47" s="150" t="s">
        <v>258</v>
      </c>
      <c r="G47"/>
      <c r="H47"/>
      <c r="J47"/>
      <c r="K47"/>
      <c r="L47"/>
      <c r="M47"/>
      <c r="N47"/>
      <c r="O47"/>
      <c r="P47"/>
      <c r="Q47"/>
      <c r="R47"/>
      <c r="S47"/>
      <c r="U47"/>
      <c r="V47"/>
      <c r="W47"/>
      <c r="X47"/>
      <c r="Y47"/>
      <c r="Z47"/>
      <c r="AA47" s="2" t="s">
        <v>6</v>
      </c>
      <c r="AB47" s="2" t="str">
        <f t="shared" si="1"/>
        <v>-</v>
      </c>
      <c r="AC47" s="2" t="s">
        <v>54</v>
      </c>
      <c r="AD47" s="2" t="str">
        <f t="shared" si="2"/>
        <v>_</v>
      </c>
      <c r="AE47" s="2" t="s">
        <v>53</v>
      </c>
      <c r="AF47" s="2" t="str">
        <f t="shared" si="3"/>
        <v/>
      </c>
      <c r="AG47" s="2"/>
    </row>
    <row r="48" spans="1:33" x14ac:dyDescent="0.25">
      <c r="B48" s="2" t="str">
        <f t="shared" si="33"/>
        <v>@color-landcover_heath_fell</v>
      </c>
      <c r="C48" s="72" t="s">
        <v>205</v>
      </c>
      <c r="D48"/>
      <c r="E48"/>
      <c r="F48" s="151" t="s">
        <v>259</v>
      </c>
      <c r="G48"/>
      <c r="H48"/>
      <c r="J48"/>
      <c r="K48"/>
      <c r="L48"/>
      <c r="M48"/>
      <c r="N48"/>
      <c r="O48"/>
      <c r="P48"/>
      <c r="Q48"/>
      <c r="R48"/>
      <c r="S48"/>
      <c r="U48"/>
      <c r="V48"/>
      <c r="W48"/>
      <c r="X48"/>
      <c r="Y48"/>
      <c r="Z48"/>
      <c r="AA48" s="2" t="s">
        <v>6</v>
      </c>
      <c r="AB48" s="2" t="str">
        <f t="shared" si="1"/>
        <v>-</v>
      </c>
      <c r="AC48" s="2" t="s">
        <v>54</v>
      </c>
      <c r="AD48" s="2" t="str">
        <f t="shared" si="2"/>
        <v>_</v>
      </c>
      <c r="AE48" s="2" t="s">
        <v>55</v>
      </c>
      <c r="AF48" s="2" t="str">
        <f t="shared" si="3"/>
        <v/>
      </c>
      <c r="AG48" s="2"/>
    </row>
    <row r="49" spans="2:33" x14ac:dyDescent="0.25">
      <c r="B49" s="2" t="str">
        <f t="shared" si="33"/>
        <v>@color-landcover_grass</v>
      </c>
      <c r="C49" s="73" t="s">
        <v>206</v>
      </c>
      <c r="D49"/>
      <c r="E49"/>
      <c r="F49" s="152" t="s">
        <v>260</v>
      </c>
      <c r="G49"/>
      <c r="H49"/>
      <c r="J49"/>
      <c r="K49"/>
      <c r="L49"/>
      <c r="M49"/>
      <c r="N49"/>
      <c r="O49"/>
      <c r="P49"/>
      <c r="Q49"/>
      <c r="R49"/>
      <c r="S49"/>
      <c r="U49"/>
      <c r="V49"/>
      <c r="W49"/>
      <c r="X49"/>
      <c r="Y49"/>
      <c r="Z49"/>
      <c r="AA49" s="2" t="s">
        <v>6</v>
      </c>
      <c r="AB49" s="2" t="str">
        <f t="shared" si="1"/>
        <v>-</v>
      </c>
      <c r="AC49" s="2" t="s">
        <v>54</v>
      </c>
      <c r="AD49" s="2" t="str">
        <f t="shared" si="2"/>
        <v>_</v>
      </c>
      <c r="AE49" s="2" t="s">
        <v>56</v>
      </c>
      <c r="AF49" s="2" t="str">
        <f t="shared" si="3"/>
        <v/>
      </c>
      <c r="AG49" s="2"/>
    </row>
    <row r="50" spans="2:33" x14ac:dyDescent="0.25">
      <c r="B50" s="2" t="str">
        <f t="shared" si="33"/>
        <v>@color-landcover_quarry</v>
      </c>
      <c r="C50" s="74" t="s">
        <v>207</v>
      </c>
      <c r="D50"/>
      <c r="E50"/>
      <c r="F50" s="153" t="s">
        <v>261</v>
      </c>
      <c r="G50"/>
      <c r="H50"/>
      <c r="J50"/>
      <c r="K50"/>
      <c r="L50"/>
      <c r="M50"/>
      <c r="N50"/>
      <c r="O50"/>
      <c r="P50"/>
      <c r="Q50"/>
      <c r="R50"/>
      <c r="S50"/>
      <c r="U50"/>
      <c r="V50"/>
      <c r="W50"/>
      <c r="X50"/>
      <c r="Y50"/>
      <c r="Z50"/>
      <c r="AA50" s="2" t="s">
        <v>6</v>
      </c>
      <c r="AB50" s="2" t="str">
        <f t="shared" si="1"/>
        <v>-</v>
      </c>
      <c r="AC50" s="2" t="s">
        <v>54</v>
      </c>
      <c r="AD50" s="2" t="str">
        <f t="shared" si="2"/>
        <v>_</v>
      </c>
      <c r="AE50" s="2" t="s">
        <v>57</v>
      </c>
      <c r="AF50" s="2" t="str">
        <f t="shared" si="3"/>
        <v/>
      </c>
      <c r="AG50" s="2"/>
    </row>
    <row r="51" spans="2:33" x14ac:dyDescent="0.25">
      <c r="B51" s="2" t="str">
        <f t="shared" si="33"/>
        <v>@color-landcover_storage</v>
      </c>
      <c r="C51" s="75" t="s">
        <v>208</v>
      </c>
      <c r="D51"/>
      <c r="E51"/>
      <c r="F51" s="163" t="s">
        <v>276</v>
      </c>
      <c r="G51"/>
      <c r="H51"/>
      <c r="J51"/>
      <c r="K51"/>
      <c r="L51"/>
      <c r="M51"/>
      <c r="N51"/>
      <c r="O51"/>
      <c r="P51"/>
      <c r="Q51"/>
      <c r="R51"/>
      <c r="S51"/>
      <c r="U51"/>
      <c r="V51"/>
      <c r="W51"/>
      <c r="X51"/>
      <c r="Y51"/>
      <c r="Z51"/>
      <c r="AA51" s="2" t="s">
        <v>6</v>
      </c>
      <c r="AB51" s="2" t="str">
        <f t="shared" si="1"/>
        <v>-</v>
      </c>
      <c r="AC51" s="2" t="s">
        <v>54</v>
      </c>
      <c r="AD51" s="2" t="str">
        <f t="shared" si="2"/>
        <v>_</v>
      </c>
      <c r="AE51" s="2" t="s">
        <v>58</v>
      </c>
      <c r="AF51" s="2" t="str">
        <f t="shared" si="3"/>
        <v/>
      </c>
      <c r="AG51" s="2"/>
    </row>
    <row r="52" spans="2:33" x14ac:dyDescent="0.25">
      <c r="B52" s="2" t="str">
        <f t="shared" si="33"/>
        <v>@color-landcover_wood</v>
      </c>
      <c r="C52" s="76" t="s">
        <v>209</v>
      </c>
      <c r="D52"/>
      <c r="E52"/>
      <c r="F52" s="144" t="s">
        <v>250</v>
      </c>
      <c r="G52"/>
      <c r="H52"/>
      <c r="J52"/>
      <c r="K52"/>
      <c r="L52"/>
      <c r="M52"/>
      <c r="N52"/>
      <c r="O52"/>
      <c r="P52"/>
      <c r="Q52"/>
      <c r="R52"/>
      <c r="S52"/>
      <c r="U52"/>
      <c r="V52"/>
      <c r="W52"/>
      <c r="X52"/>
      <c r="Y52"/>
      <c r="Z52"/>
      <c r="AA52" s="2" t="s">
        <v>6</v>
      </c>
      <c r="AB52" s="2" t="str">
        <f t="shared" si="1"/>
        <v>-</v>
      </c>
      <c r="AC52" s="2" t="s">
        <v>54</v>
      </c>
      <c r="AD52" s="2" t="str">
        <f t="shared" si="2"/>
        <v>_</v>
      </c>
      <c r="AE52" s="2" t="s">
        <v>59</v>
      </c>
      <c r="AF52" s="2" t="str">
        <f t="shared" si="3"/>
        <v/>
      </c>
      <c r="AG52" s="2"/>
    </row>
    <row r="53" spans="2:33" x14ac:dyDescent="0.25">
      <c r="B53" s="2" t="str">
        <f t="shared" si="33"/>
        <v>@color-landcover_parking_area</v>
      </c>
      <c r="C53" s="77" t="s">
        <v>210</v>
      </c>
      <c r="D53"/>
      <c r="E53"/>
      <c r="F53" s="154" t="s">
        <v>262</v>
      </c>
      <c r="G53"/>
      <c r="H53"/>
      <c r="J53"/>
      <c r="K53"/>
      <c r="L53"/>
      <c r="M53"/>
      <c r="N53"/>
      <c r="O53"/>
      <c r="P53"/>
      <c r="Q53"/>
      <c r="R53"/>
      <c r="S53"/>
      <c r="U53"/>
      <c r="V53"/>
      <c r="W53"/>
      <c r="X53"/>
      <c r="Y53"/>
      <c r="Z53"/>
      <c r="AA53" s="2" t="s">
        <v>6</v>
      </c>
      <c r="AB53" s="2" t="str">
        <f t="shared" si="1"/>
        <v>-</v>
      </c>
      <c r="AC53" s="2" t="s">
        <v>54</v>
      </c>
      <c r="AD53" s="2" t="str">
        <f t="shared" si="2"/>
        <v>_</v>
      </c>
      <c r="AE53" s="2" t="s">
        <v>60</v>
      </c>
      <c r="AF53" s="2" t="str">
        <f t="shared" si="3"/>
        <v/>
      </c>
      <c r="AG53" s="2"/>
    </row>
    <row r="54" spans="2:33" x14ac:dyDescent="0.25">
      <c r="B54" s="2" t="str">
        <f t="shared" si="33"/>
        <v>@color-landcover_railway</v>
      </c>
      <c r="C54" s="78" t="s">
        <v>211</v>
      </c>
      <c r="D54"/>
      <c r="E54"/>
      <c r="F54" s="155" t="s">
        <v>263</v>
      </c>
      <c r="G54"/>
      <c r="H54"/>
      <c r="J54"/>
      <c r="K54"/>
      <c r="L54"/>
      <c r="M54"/>
      <c r="N54"/>
      <c r="O54"/>
      <c r="P54"/>
      <c r="Q54"/>
      <c r="R54"/>
      <c r="S54"/>
      <c r="U54"/>
      <c r="V54"/>
      <c r="W54"/>
      <c r="X54"/>
      <c r="Y54"/>
      <c r="Z54"/>
      <c r="AA54" s="2" t="s">
        <v>6</v>
      </c>
      <c r="AB54" s="2" t="str">
        <f t="shared" si="1"/>
        <v>-</v>
      </c>
      <c r="AC54" s="2" t="s">
        <v>54</v>
      </c>
      <c r="AD54" s="2" t="str">
        <f t="shared" si="2"/>
        <v>_</v>
      </c>
      <c r="AE54" s="2" t="s">
        <v>61</v>
      </c>
      <c r="AF54" s="2" t="str">
        <f t="shared" si="3"/>
        <v/>
      </c>
      <c r="AG54" s="2"/>
    </row>
    <row r="55" spans="2:33" x14ac:dyDescent="0.25">
      <c r="B55" s="2" t="str">
        <f t="shared" si="33"/>
        <v>@color-landcover_school</v>
      </c>
      <c r="C55" s="80" t="s">
        <v>213</v>
      </c>
      <c r="D55"/>
      <c r="E55"/>
      <c r="F55" s="163" t="s">
        <v>276</v>
      </c>
      <c r="G55"/>
      <c r="H55"/>
      <c r="J55"/>
      <c r="K55"/>
      <c r="L55"/>
      <c r="M55"/>
      <c r="N55"/>
      <c r="O55"/>
      <c r="P55"/>
      <c r="Q55"/>
      <c r="R55"/>
      <c r="S55"/>
      <c r="U55"/>
      <c r="V55"/>
      <c r="W55"/>
      <c r="X55"/>
      <c r="Y55"/>
      <c r="Z55"/>
      <c r="AA55" s="2" t="s">
        <v>6</v>
      </c>
      <c r="AB55" s="2" t="str">
        <f t="shared" si="1"/>
        <v>-</v>
      </c>
      <c r="AC55" s="2" t="s">
        <v>54</v>
      </c>
      <c r="AD55" s="2" t="str">
        <f t="shared" si="2"/>
        <v>_</v>
      </c>
      <c r="AE55" s="2" t="s">
        <v>62</v>
      </c>
      <c r="AF55" s="2" t="str">
        <f t="shared" si="3"/>
        <v/>
      </c>
      <c r="AG55" s="2"/>
    </row>
    <row r="56" spans="2:33" x14ac:dyDescent="0.25">
      <c r="B56" s="2" t="str">
        <f t="shared" si="33"/>
        <v>@color-landcover_cemetery</v>
      </c>
      <c r="C56" s="79" t="s">
        <v>212</v>
      </c>
      <c r="D56"/>
      <c r="E56"/>
      <c r="F56" s="156" t="s">
        <v>264</v>
      </c>
      <c r="G56"/>
      <c r="H56"/>
      <c r="J56"/>
      <c r="K56"/>
      <c r="L56"/>
      <c r="M56"/>
      <c r="N56"/>
      <c r="O56"/>
      <c r="P56"/>
      <c r="Q56"/>
      <c r="R56"/>
      <c r="S56"/>
      <c r="U56"/>
      <c r="V56"/>
      <c r="W56"/>
      <c r="X56"/>
      <c r="Y56"/>
      <c r="Z56"/>
      <c r="AA56" s="2" t="s">
        <v>6</v>
      </c>
      <c r="AB56" s="2" t="str">
        <f t="shared" si="1"/>
        <v>-</v>
      </c>
      <c r="AC56" s="2" t="s">
        <v>54</v>
      </c>
      <c r="AD56" s="2" t="str">
        <f t="shared" si="2"/>
        <v>_</v>
      </c>
      <c r="AE56" s="2" t="s">
        <v>64</v>
      </c>
      <c r="AF56" s="2" t="str">
        <f t="shared" si="3"/>
        <v/>
      </c>
      <c r="AG56" s="2"/>
    </row>
    <row r="57" spans="2:33" x14ac:dyDescent="0.25">
      <c r="B57" s="2" t="str">
        <f t="shared" si="33"/>
        <v>@color-landcover_hospital</v>
      </c>
      <c r="C57" s="80" t="s">
        <v>213</v>
      </c>
      <c r="D57"/>
      <c r="E57"/>
      <c r="F57" s="163" t="s">
        <v>276</v>
      </c>
      <c r="G57"/>
      <c r="H57"/>
      <c r="J57"/>
      <c r="K57"/>
      <c r="L57"/>
      <c r="M57"/>
      <c r="N57"/>
      <c r="O57"/>
      <c r="P57"/>
      <c r="Q57"/>
      <c r="R57"/>
      <c r="S57"/>
      <c r="U57"/>
      <c r="V57"/>
      <c r="W57"/>
      <c r="X57"/>
      <c r="Y57"/>
      <c r="Z57"/>
      <c r="AA57" s="2" t="s">
        <v>6</v>
      </c>
      <c r="AB57" s="2" t="str">
        <f t="shared" si="1"/>
        <v>-</v>
      </c>
      <c r="AC57" s="2" t="s">
        <v>54</v>
      </c>
      <c r="AD57" s="2" t="str">
        <f t="shared" si="2"/>
        <v>_</v>
      </c>
      <c r="AE57" s="2" t="s">
        <v>63</v>
      </c>
      <c r="AF57" s="2" t="str">
        <f t="shared" si="3"/>
        <v/>
      </c>
      <c r="AG57" s="2"/>
    </row>
    <row r="58" spans="2:33" x14ac:dyDescent="0.25">
      <c r="B58" s="2" t="str">
        <f t="shared" si="33"/>
        <v>@color-landcover_industrial</v>
      </c>
      <c r="C58" s="80" t="s">
        <v>213</v>
      </c>
      <c r="D58"/>
      <c r="E58"/>
      <c r="F58" s="163" t="s">
        <v>276</v>
      </c>
      <c r="G58"/>
      <c r="H58"/>
      <c r="J58"/>
      <c r="K58"/>
      <c r="L58"/>
      <c r="M58"/>
      <c r="N58"/>
      <c r="O58"/>
      <c r="P58"/>
      <c r="Q58"/>
      <c r="R58"/>
      <c r="S58"/>
      <c r="U58"/>
      <c r="V58"/>
      <c r="W58"/>
      <c r="X58"/>
      <c r="Y58"/>
      <c r="Z58"/>
      <c r="AA58" s="2" t="s">
        <v>6</v>
      </c>
      <c r="AB58" s="2" t="str">
        <f t="shared" si="1"/>
        <v>-</v>
      </c>
      <c r="AC58" s="2" t="s">
        <v>54</v>
      </c>
      <c r="AD58" s="2" t="str">
        <f t="shared" si="2"/>
        <v>_</v>
      </c>
      <c r="AE58" s="2" t="s">
        <v>65</v>
      </c>
      <c r="AF58" s="2" t="str">
        <f t="shared" si="3"/>
        <v/>
      </c>
      <c r="AG58" s="2"/>
    </row>
    <row r="59" spans="2:33" x14ac:dyDescent="0.25">
      <c r="B59" s="2" t="str">
        <f t="shared" si="33"/>
        <v>@color-landcover_commercial</v>
      </c>
      <c r="C59" s="80" t="s">
        <v>213</v>
      </c>
      <c r="D59"/>
      <c r="E59"/>
      <c r="F59" s="163" t="s">
        <v>276</v>
      </c>
      <c r="G59"/>
      <c r="H59"/>
      <c r="J59"/>
      <c r="K59"/>
      <c r="L59"/>
      <c r="M59"/>
      <c r="N59"/>
      <c r="O59"/>
      <c r="P59"/>
      <c r="Q59"/>
      <c r="R59"/>
      <c r="S59"/>
      <c r="U59"/>
      <c r="V59"/>
      <c r="W59"/>
      <c r="X59"/>
      <c r="Y59"/>
      <c r="Z59"/>
      <c r="AA59" s="2" t="s">
        <v>6</v>
      </c>
      <c r="AB59" s="2" t="str">
        <f t="shared" si="1"/>
        <v>-</v>
      </c>
      <c r="AC59" s="2" t="s">
        <v>54</v>
      </c>
      <c r="AD59" s="2" t="str">
        <f t="shared" si="2"/>
        <v>_</v>
      </c>
      <c r="AE59" s="2" t="s">
        <v>66</v>
      </c>
      <c r="AF59" s="2" t="str">
        <f t="shared" si="3"/>
        <v/>
      </c>
      <c r="AG59" s="2"/>
    </row>
    <row r="60" spans="2:33" x14ac:dyDescent="0.25">
      <c r="B60" s="2" t="str">
        <f t="shared" si="33"/>
        <v>@color-landcover_residential</v>
      </c>
      <c r="C60" s="80" t="s">
        <v>213</v>
      </c>
      <c r="D60"/>
      <c r="E60"/>
      <c r="F60" s="163" t="s">
        <v>276</v>
      </c>
      <c r="G60"/>
      <c r="H60"/>
      <c r="J60"/>
      <c r="K60"/>
      <c r="L60"/>
      <c r="M60"/>
      <c r="N60"/>
      <c r="O60"/>
      <c r="P60"/>
      <c r="Q60"/>
      <c r="R60"/>
      <c r="S60"/>
      <c r="U60"/>
      <c r="V60"/>
      <c r="W60"/>
      <c r="X60"/>
      <c r="Y60"/>
      <c r="Z60"/>
      <c r="AA60" s="2" t="s">
        <v>6</v>
      </c>
      <c r="AB60" s="2" t="str">
        <f t="shared" si="1"/>
        <v>-</v>
      </c>
      <c r="AC60" s="2" t="s">
        <v>54</v>
      </c>
      <c r="AD60" s="2" t="str">
        <f t="shared" si="2"/>
        <v>_</v>
      </c>
      <c r="AE60" s="2" t="s">
        <v>67</v>
      </c>
      <c r="AF60" s="2" t="str">
        <f t="shared" si="3"/>
        <v/>
      </c>
      <c r="AG60" s="2"/>
    </row>
    <row r="61" spans="2:33" x14ac:dyDescent="0.25">
      <c r="B61" s="2" t="str">
        <f t="shared" si="33"/>
        <v>@color-landcover_built-up</v>
      </c>
      <c r="C61" s="80" t="s">
        <v>213</v>
      </c>
      <c r="D61"/>
      <c r="E61"/>
      <c r="F61" s="163" t="s">
        <v>276</v>
      </c>
      <c r="G61"/>
      <c r="H61"/>
      <c r="J61"/>
      <c r="K61"/>
      <c r="L61"/>
      <c r="M61"/>
      <c r="N61"/>
      <c r="O61"/>
      <c r="P61"/>
      <c r="Q61"/>
      <c r="R61"/>
      <c r="S61"/>
      <c r="U61"/>
      <c r="V61"/>
      <c r="W61"/>
      <c r="X61"/>
      <c r="Y61"/>
      <c r="Z61"/>
      <c r="AA61" s="2" t="s">
        <v>6</v>
      </c>
      <c r="AB61" s="2" t="str">
        <f t="shared" si="1"/>
        <v>-</v>
      </c>
      <c r="AC61" s="2" t="s">
        <v>54</v>
      </c>
      <c r="AD61" s="2" t="str">
        <f t="shared" si="2"/>
        <v>_</v>
      </c>
      <c r="AE61" s="2" t="s">
        <v>68</v>
      </c>
      <c r="AF61" s="2" t="str">
        <f t="shared" si="3"/>
        <v/>
      </c>
      <c r="AG61" s="2"/>
    </row>
    <row r="62" spans="2:33" x14ac:dyDescent="0.25">
      <c r="B62" s="2" t="str">
        <f t="shared" ref="B62:B64" si="34">_xlfn.CONCAT("@",AA62,AB62,AC62,AD62,AE62,AF62,AG62)</f>
        <v>@color-landcover_ice_shelf</v>
      </c>
      <c r="C62" s="62" t="s">
        <v>195</v>
      </c>
      <c r="D62"/>
      <c r="E62"/>
      <c r="F62" s="157" t="s">
        <v>265</v>
      </c>
      <c r="G62"/>
      <c r="H62"/>
      <c r="J62"/>
      <c r="K62"/>
      <c r="L62"/>
      <c r="M62"/>
      <c r="N62"/>
      <c r="O62"/>
      <c r="P62"/>
      <c r="Q62"/>
      <c r="R62"/>
      <c r="S62"/>
      <c r="U62"/>
      <c r="V62"/>
      <c r="W62"/>
      <c r="X62"/>
      <c r="Y62"/>
      <c r="Z62"/>
      <c r="AA62" s="2" t="s">
        <v>6</v>
      </c>
      <c r="AB62" s="2" t="str">
        <f t="shared" ref="AB62:AB64" si="35">IF(NOT(ISBLANK(AC62)),"-","")</f>
        <v>-</v>
      </c>
      <c r="AC62" s="2" t="s">
        <v>54</v>
      </c>
      <c r="AD62" s="2" t="str">
        <f t="shared" ref="AD62:AD64" si="36">IF(NOT(ISBLANK(AE62)),"_","")</f>
        <v>_</v>
      </c>
      <c r="AE62" s="2" t="s">
        <v>253</v>
      </c>
      <c r="AF62" s="2" t="str">
        <f t="shared" ref="AF62:AF64" si="37">IF(NOT(ISBLANK(AG62)),"_","")</f>
        <v/>
      </c>
      <c r="AG62" s="2"/>
    </row>
    <row r="63" spans="2:33" x14ac:dyDescent="0.25">
      <c r="B63" s="2" t="str">
        <f t="shared" si="34"/>
        <v>@color-landcover_sport_play</v>
      </c>
      <c r="C63" s="147" t="s">
        <v>255</v>
      </c>
      <c r="D63"/>
      <c r="E63"/>
      <c r="F63" s="158" t="s">
        <v>266</v>
      </c>
      <c r="G63"/>
      <c r="H63"/>
      <c r="J63"/>
      <c r="K63"/>
      <c r="L63"/>
      <c r="M63"/>
      <c r="N63"/>
      <c r="O63"/>
      <c r="P63"/>
      <c r="Q63"/>
      <c r="R63"/>
      <c r="S63"/>
      <c r="U63"/>
      <c r="V63"/>
      <c r="W63"/>
      <c r="X63"/>
      <c r="Y63"/>
      <c r="Z63"/>
      <c r="AA63" s="2" t="s">
        <v>6</v>
      </c>
      <c r="AB63" s="2" t="str">
        <f t="shared" si="35"/>
        <v>-</v>
      </c>
      <c r="AC63" s="2" t="s">
        <v>54</v>
      </c>
      <c r="AD63" s="2" t="str">
        <f t="shared" si="36"/>
        <v>_</v>
      </c>
      <c r="AE63" s="2" t="s">
        <v>254</v>
      </c>
      <c r="AF63" s="2" t="str">
        <f t="shared" si="37"/>
        <v/>
      </c>
      <c r="AG63" s="2"/>
    </row>
    <row r="64" spans="2:33" x14ac:dyDescent="0.25">
      <c r="B64" s="2" t="str">
        <f t="shared" si="34"/>
        <v>@color-landcover_line_generic</v>
      </c>
      <c r="C64" s="164" t="s">
        <v>277</v>
      </c>
      <c r="D64"/>
      <c r="E64"/>
      <c r="F64" s="163" t="s">
        <v>276</v>
      </c>
      <c r="G64"/>
      <c r="H64"/>
      <c r="J64"/>
      <c r="K64"/>
      <c r="L64"/>
      <c r="M64"/>
      <c r="N64"/>
      <c r="O64"/>
      <c r="P64"/>
      <c r="Q64"/>
      <c r="R64"/>
      <c r="S64"/>
      <c r="U64"/>
      <c r="V64"/>
      <c r="W64"/>
      <c r="X64"/>
      <c r="Y64"/>
      <c r="Z64"/>
      <c r="AA64" s="2" t="s">
        <v>6</v>
      </c>
      <c r="AB64" s="2" t="str">
        <f t="shared" si="35"/>
        <v>-</v>
      </c>
      <c r="AC64" s="2" t="s">
        <v>54</v>
      </c>
      <c r="AD64" s="2" t="str">
        <f t="shared" si="36"/>
        <v>_</v>
      </c>
      <c r="AE64" s="2" t="s">
        <v>13</v>
      </c>
      <c r="AF64" s="2" t="str">
        <f t="shared" si="37"/>
        <v>_</v>
      </c>
      <c r="AG64" s="2" t="s">
        <v>271</v>
      </c>
    </row>
    <row r="65" spans="1:33" x14ac:dyDescent="0.25">
      <c r="C65"/>
      <c r="D65"/>
      <c r="E65"/>
      <c r="F65"/>
      <c r="G65"/>
      <c r="H65"/>
      <c r="J65"/>
      <c r="K65"/>
      <c r="L65"/>
      <c r="M65"/>
      <c r="N65"/>
      <c r="O65"/>
      <c r="P65"/>
      <c r="Q65"/>
      <c r="R65"/>
      <c r="S65"/>
      <c r="U65"/>
      <c r="V65"/>
      <c r="W65"/>
      <c r="X65"/>
      <c r="Y65"/>
      <c r="Z65"/>
      <c r="AB65" s="29" t="str">
        <f t="shared" si="1"/>
        <v/>
      </c>
      <c r="AD65" s="29" t="str">
        <f t="shared" si="2"/>
        <v/>
      </c>
      <c r="AF65" s="29" t="str">
        <f t="shared" si="3"/>
        <v/>
      </c>
    </row>
    <row r="66" spans="1:33" s="2" customFormat="1" x14ac:dyDescent="0.25">
      <c r="A66" s="4" t="s">
        <v>46</v>
      </c>
      <c r="B66" s="4"/>
      <c r="C66" s="4"/>
      <c r="D66" s="5"/>
      <c r="F66" s="5"/>
      <c r="G66" s="5"/>
      <c r="I66" s="5"/>
      <c r="J66" s="5"/>
      <c r="L66" s="5"/>
      <c r="M66" s="5"/>
      <c r="O66" s="5"/>
      <c r="P66" s="5"/>
      <c r="R66" s="5"/>
      <c r="S66" s="5"/>
      <c r="U66" s="5"/>
      <c r="V66" s="5"/>
      <c r="X66" s="5"/>
      <c r="Y66" s="5"/>
      <c r="AA66" s="5"/>
      <c r="AB66" s="5" t="str">
        <f t="shared" si="1"/>
        <v/>
      </c>
      <c r="AC66" s="5"/>
      <c r="AD66" s="5" t="str">
        <f t="shared" si="2"/>
        <v/>
      </c>
      <c r="AE66" s="5"/>
      <c r="AF66" s="5" t="str">
        <f t="shared" si="3"/>
        <v/>
      </c>
      <c r="AG66" s="5"/>
    </row>
    <row r="67" spans="1:33" x14ac:dyDescent="0.25">
      <c r="B67" s="2" t="str">
        <f t="shared" ref="B67:B69" si="38">_xlfn.CONCAT("@",AA67,AB67,AC67,AD67,AE67,AF67,AG67)</f>
        <v>@color-motorway_case_farzoom</v>
      </c>
      <c r="C67" s="81" t="s">
        <v>214</v>
      </c>
      <c r="D67" s="82" t="s">
        <v>217</v>
      </c>
      <c r="E67"/>
      <c r="F67" s="82" t="s">
        <v>217</v>
      </c>
      <c r="G67"/>
      <c r="H67"/>
      <c r="I67" s="140" t="str">
        <f>C67</f>
        <v>"#bf440f"</v>
      </c>
      <c r="J67" s="82" t="s">
        <v>217</v>
      </c>
      <c r="K67"/>
      <c r="L67"/>
      <c r="M67"/>
      <c r="N67"/>
      <c r="O67" s="140" t="str">
        <f>C67</f>
        <v>"#bf440f"</v>
      </c>
      <c r="P67"/>
      <c r="Q67"/>
      <c r="R67"/>
      <c r="S67"/>
      <c r="U67"/>
      <c r="V67"/>
      <c r="W67"/>
      <c r="X67"/>
      <c r="Y67"/>
      <c r="Z67"/>
      <c r="AA67" s="2" t="s">
        <v>6</v>
      </c>
      <c r="AB67" s="2" t="str">
        <f t="shared" si="1"/>
        <v>-</v>
      </c>
      <c r="AC67" s="2" t="s">
        <v>16</v>
      </c>
      <c r="AD67" s="2" t="str">
        <f t="shared" si="2"/>
        <v>_</v>
      </c>
      <c r="AE67" s="2" t="s">
        <v>17</v>
      </c>
      <c r="AF67" s="2" t="str">
        <f t="shared" si="3"/>
        <v>_</v>
      </c>
      <c r="AG67" s="2" t="s">
        <v>21</v>
      </c>
    </row>
    <row r="68" spans="1:33" x14ac:dyDescent="0.25">
      <c r="B68" s="2" t="str">
        <f t="shared" si="38"/>
        <v>@color-motorway_case_default</v>
      </c>
      <c r="C68" s="83" t="s">
        <v>215</v>
      </c>
      <c r="D68" s="82" t="s">
        <v>217</v>
      </c>
      <c r="E68"/>
      <c r="F68" s="82" t="s">
        <v>217</v>
      </c>
      <c r="G68"/>
      <c r="H68"/>
      <c r="I68" s="37" t="str">
        <f>C68</f>
        <v>"#a15412"</v>
      </c>
      <c r="J68" s="82" t="s">
        <v>217</v>
      </c>
      <c r="K68"/>
      <c r="L68"/>
      <c r="M68"/>
      <c r="N68"/>
      <c r="O68" s="37" t="str">
        <f>C68</f>
        <v>"#a15412"</v>
      </c>
      <c r="P68"/>
      <c r="Q68"/>
      <c r="R68"/>
      <c r="S68"/>
      <c r="U68"/>
      <c r="V68"/>
      <c r="W68"/>
      <c r="X68"/>
      <c r="Y68"/>
      <c r="Z68"/>
      <c r="AA68" s="2" t="s">
        <v>6</v>
      </c>
      <c r="AB68" s="2" t="str">
        <f t="shared" si="1"/>
        <v>-</v>
      </c>
      <c r="AC68" s="2" t="s">
        <v>16</v>
      </c>
      <c r="AD68" s="2" t="str">
        <f t="shared" si="2"/>
        <v>_</v>
      </c>
      <c r="AE68" s="2" t="s">
        <v>17</v>
      </c>
      <c r="AF68" s="2" t="str">
        <f t="shared" si="3"/>
        <v>_</v>
      </c>
      <c r="AG68" s="2" t="s">
        <v>278</v>
      </c>
    </row>
    <row r="69" spans="1:33" x14ac:dyDescent="0.25">
      <c r="B69" s="2" t="str">
        <f t="shared" si="38"/>
        <v>@color-motorway_line</v>
      </c>
      <c r="C69" s="84" t="s">
        <v>216</v>
      </c>
      <c r="D69" s="85" t="s">
        <v>218</v>
      </c>
      <c r="E69"/>
      <c r="F69" s="85" t="s">
        <v>218</v>
      </c>
      <c r="G69"/>
      <c r="H69"/>
      <c r="I69" s="38" t="str">
        <f>C69</f>
        <v>"#ffcc88"</v>
      </c>
      <c r="J69" s="39" t="str">
        <f>D69</f>
        <v>"#d6771e"</v>
      </c>
      <c r="K69"/>
      <c r="L69"/>
      <c r="M69"/>
      <c r="N69"/>
      <c r="O69" s="38" t="str">
        <f>C69</f>
        <v>"#ffcc88"</v>
      </c>
      <c r="P69"/>
      <c r="Q69"/>
      <c r="R69"/>
      <c r="S69"/>
      <c r="U69"/>
      <c r="V69"/>
      <c r="W69"/>
      <c r="X69"/>
      <c r="Y69"/>
      <c r="Z69"/>
      <c r="AA69" s="2" t="s">
        <v>6</v>
      </c>
      <c r="AB69" s="2" t="str">
        <f t="shared" si="1"/>
        <v>-</v>
      </c>
      <c r="AC69" s="2" t="s">
        <v>16</v>
      </c>
      <c r="AD69" s="2" t="str">
        <f t="shared" si="2"/>
        <v>_</v>
      </c>
      <c r="AE69" s="2" t="s">
        <v>13</v>
      </c>
      <c r="AF69" s="2" t="str">
        <f t="shared" si="3"/>
        <v/>
      </c>
      <c r="AG69" s="2"/>
    </row>
    <row r="70" spans="1:33" x14ac:dyDescent="0.25">
      <c r="C70"/>
      <c r="D70"/>
      <c r="E70"/>
      <c r="F70"/>
      <c r="G70"/>
      <c r="H70"/>
      <c r="J70"/>
      <c r="K70"/>
      <c r="L70"/>
      <c r="M70"/>
      <c r="N70"/>
      <c r="O70"/>
      <c r="P70"/>
      <c r="Q70"/>
      <c r="R70"/>
      <c r="S70"/>
      <c r="U70"/>
      <c r="V70"/>
      <c r="W70"/>
      <c r="X70"/>
      <c r="Y70"/>
      <c r="Z70"/>
      <c r="AB70" s="29" t="str">
        <f t="shared" si="1"/>
        <v/>
      </c>
      <c r="AD70" s="29" t="str">
        <f t="shared" si="2"/>
        <v/>
      </c>
      <c r="AF70" s="29" t="str">
        <f t="shared" si="3"/>
        <v/>
      </c>
    </row>
    <row r="71" spans="1:33" s="2" customFormat="1" x14ac:dyDescent="0.25">
      <c r="A71" s="4" t="s">
        <v>48</v>
      </c>
      <c r="B71" s="4"/>
      <c r="C71" s="4"/>
      <c r="D71" s="5"/>
      <c r="F71" s="5"/>
      <c r="G71" s="5"/>
      <c r="I71" s="5"/>
      <c r="J71" s="5"/>
      <c r="L71" s="5"/>
      <c r="M71" s="5"/>
      <c r="O71" s="5"/>
      <c r="P71" s="5"/>
      <c r="R71" s="5"/>
      <c r="S71" s="5"/>
      <c r="U71" s="5"/>
      <c r="V71" s="5"/>
      <c r="X71" s="5"/>
      <c r="Y71" s="5"/>
      <c r="AA71" s="5"/>
      <c r="AB71" s="5" t="str">
        <f t="shared" si="1"/>
        <v/>
      </c>
      <c r="AC71" s="5"/>
      <c r="AD71" s="5" t="str">
        <f t="shared" si="2"/>
        <v/>
      </c>
      <c r="AE71" s="5"/>
      <c r="AF71" s="5" t="str">
        <f t="shared" si="3"/>
        <v/>
      </c>
      <c r="AG71" s="5"/>
    </row>
    <row r="72" spans="1:33" x14ac:dyDescent="0.25">
      <c r="B72" s="2" t="str">
        <f t="shared" ref="B72:B181" si="39">_xlfn.CONCAT("@",AA72,AB72,AC72,AD72,AE72,AF72,AG72)</f>
        <v>@color-trunk_case_farzoom</v>
      </c>
      <c r="C72" s="94" t="s">
        <v>220</v>
      </c>
      <c r="D72" s="82" t="s">
        <v>217</v>
      </c>
      <c r="E72"/>
      <c r="F72" s="82" t="s">
        <v>217</v>
      </c>
      <c r="G72"/>
      <c r="H72"/>
      <c r="I72" s="129"/>
      <c r="J72" s="129"/>
      <c r="K72"/>
      <c r="L72" s="129"/>
      <c r="M72" s="129"/>
      <c r="N72"/>
      <c r="O72" s="141" t="str">
        <f>C72</f>
        <v>"#df9a5e"</v>
      </c>
      <c r="P72" s="115" t="str">
        <f>D72</f>
        <v>"#000000"</v>
      </c>
      <c r="Q72"/>
      <c r="R72"/>
      <c r="S72"/>
      <c r="U72"/>
      <c r="V72"/>
      <c r="W72"/>
      <c r="X72"/>
      <c r="Y72"/>
      <c r="Z72"/>
      <c r="AA72" s="2" t="s">
        <v>6</v>
      </c>
      <c r="AB72" s="2" t="str">
        <f t="shared" si="1"/>
        <v>-</v>
      </c>
      <c r="AC72" s="2" t="s">
        <v>19</v>
      </c>
      <c r="AD72" s="2" t="str">
        <f t="shared" si="2"/>
        <v>_</v>
      </c>
      <c r="AE72" s="2" t="s">
        <v>17</v>
      </c>
      <c r="AF72" s="2" t="str">
        <f t="shared" si="3"/>
        <v>_</v>
      </c>
      <c r="AG72" s="2" t="s">
        <v>21</v>
      </c>
    </row>
    <row r="73" spans="1:33" x14ac:dyDescent="0.25">
      <c r="B73" s="2" t="str">
        <f t="shared" si="39"/>
        <v>@color-trunk_case_default</v>
      </c>
      <c r="C73" s="95" t="s">
        <v>221</v>
      </c>
      <c r="D73" s="82" t="s">
        <v>217</v>
      </c>
      <c r="E73"/>
      <c r="F73" s="82" t="s">
        <v>217</v>
      </c>
      <c r="G73"/>
      <c r="H73"/>
      <c r="I73" s="129"/>
      <c r="J73" s="129"/>
      <c r="K73"/>
      <c r="L73" s="129"/>
      <c r="M73" s="129"/>
      <c r="N73"/>
      <c r="O73" s="142" t="str">
        <f>C73</f>
        <v>"#c26d21"</v>
      </c>
      <c r="P73" s="115" t="str">
        <f>D73</f>
        <v>"#000000"</v>
      </c>
      <c r="Q73"/>
      <c r="R73"/>
      <c r="S73"/>
      <c r="U73"/>
      <c r="V73"/>
      <c r="W73"/>
      <c r="X73"/>
      <c r="Y73"/>
      <c r="Z73"/>
      <c r="AA73" s="2" t="s">
        <v>6</v>
      </c>
      <c r="AB73" s="29" t="str">
        <f t="shared" si="1"/>
        <v>-</v>
      </c>
      <c r="AC73" s="2" t="s">
        <v>19</v>
      </c>
      <c r="AD73" s="29" t="str">
        <f t="shared" si="2"/>
        <v>_</v>
      </c>
      <c r="AE73" s="2" t="s">
        <v>17</v>
      </c>
      <c r="AF73" s="29" t="str">
        <f t="shared" si="3"/>
        <v>_</v>
      </c>
      <c r="AG73" s="2" t="s">
        <v>278</v>
      </c>
    </row>
    <row r="74" spans="1:33" x14ac:dyDescent="0.25">
      <c r="B74" s="2" t="str">
        <f t="shared" ref="B74" si="40">_xlfn.CONCAT("@",AA74,AB74,AC74,AD74,AE74,AF74,AG74)</f>
        <v>@color-trunk_case_bicycle_no</v>
      </c>
      <c r="C74" s="124" t="s">
        <v>237</v>
      </c>
      <c r="D74" s="82" t="s">
        <v>217</v>
      </c>
      <c r="E74"/>
      <c r="F74" s="82" t="s">
        <v>217</v>
      </c>
      <c r="G74"/>
      <c r="H74"/>
      <c r="I74" s="119" t="str">
        <f>C74</f>
        <v>"#bd430f"</v>
      </c>
      <c r="J74" s="115" t="str">
        <f>D74</f>
        <v>"#000000"</v>
      </c>
      <c r="K74"/>
      <c r="L74"/>
      <c r="M74"/>
      <c r="N74"/>
      <c r="O74" s="119" t="str">
        <f>C74</f>
        <v>"#bd430f"</v>
      </c>
      <c r="P74" s="115" t="str">
        <f>D74</f>
        <v>"#000000"</v>
      </c>
      <c r="Q74"/>
      <c r="R74"/>
      <c r="S74"/>
      <c r="U74"/>
      <c r="V74"/>
      <c r="W74"/>
      <c r="X74"/>
      <c r="Y74"/>
      <c r="Z74"/>
      <c r="AA74" s="29" t="s">
        <v>6</v>
      </c>
      <c r="AB74" s="2" t="str">
        <f t="shared" si="1"/>
        <v>-</v>
      </c>
      <c r="AC74" s="2" t="s">
        <v>19</v>
      </c>
      <c r="AD74" s="2" t="str">
        <f t="shared" ref="AD74" si="41">IF(NOT(ISBLANK(AE74)),"_","")</f>
        <v>_</v>
      </c>
      <c r="AE74" s="29" t="s">
        <v>17</v>
      </c>
      <c r="AF74" s="2" t="str">
        <f t="shared" ref="AF74" si="42">IF(NOT(ISBLANK(AG74)),"_","")</f>
        <v>_</v>
      </c>
      <c r="AG74" s="29" t="s">
        <v>24</v>
      </c>
    </row>
    <row r="75" spans="1:33" x14ac:dyDescent="0.25">
      <c r="B75" s="2" t="str">
        <f>_xlfn.CONCAT("@",AA75,AB75,AC75,AD75,AE75,AF75,AG75)</f>
        <v>@color-trunk_case_unpaved_farzoom</v>
      </c>
      <c r="C75" s="121" t="s">
        <v>238</v>
      </c>
      <c r="D75" s="122" t="s">
        <v>242</v>
      </c>
      <c r="E75"/>
      <c r="F75" s="121" t="s">
        <v>238</v>
      </c>
      <c r="G75" s="122" t="s">
        <v>242</v>
      </c>
      <c r="H75"/>
      <c r="I75" s="121" t="s">
        <v>238</v>
      </c>
      <c r="J75" s="122" t="s">
        <v>242</v>
      </c>
      <c r="K75"/>
      <c r="L75"/>
      <c r="M75"/>
      <c r="N75"/>
      <c r="O75" s="129"/>
      <c r="P75" s="129"/>
      <c r="Q75"/>
      <c r="R75" s="129"/>
      <c r="S75" s="129"/>
      <c r="U75"/>
      <c r="V75"/>
      <c r="W75"/>
      <c r="X75"/>
      <c r="Y75"/>
      <c r="Z75"/>
      <c r="AA75" s="29" t="s">
        <v>6</v>
      </c>
      <c r="AB75" s="2" t="str">
        <f>IF(NOT(ISBLANK(AC75)),"-","")</f>
        <v>-</v>
      </c>
      <c r="AC75" s="2" t="s">
        <v>19</v>
      </c>
      <c r="AD75" s="2" t="str">
        <f>IF(NOT(ISBLANK(AE75)),"_","")</f>
        <v>_</v>
      </c>
      <c r="AE75" s="29" t="s">
        <v>17</v>
      </c>
      <c r="AF75" s="2" t="str">
        <f>IF(NOT(ISBLANK(AG75)),"_","")</f>
        <v>_</v>
      </c>
      <c r="AG75" s="29" t="s">
        <v>241</v>
      </c>
    </row>
    <row r="76" spans="1:33" x14ac:dyDescent="0.25">
      <c r="B76" s="2" t="str">
        <f t="shared" si="39"/>
        <v>@color-trunk_case_unpaved</v>
      </c>
      <c r="C76" s="99" t="s">
        <v>222</v>
      </c>
      <c r="D76" s="82" t="s">
        <v>217</v>
      </c>
      <c r="E76"/>
      <c r="F76" s="99" t="s">
        <v>222</v>
      </c>
      <c r="G76" s="82" t="s">
        <v>217</v>
      </c>
      <c r="I76" s="99" t="s">
        <v>222</v>
      </c>
      <c r="J76" s="82" t="s">
        <v>217</v>
      </c>
      <c r="L76"/>
      <c r="M76"/>
      <c r="O76" s="129"/>
      <c r="P76" s="129"/>
      <c r="Q76"/>
      <c r="R76" s="129"/>
      <c r="S76" s="129"/>
      <c r="U76"/>
      <c r="V76"/>
      <c r="X76"/>
      <c r="Y76"/>
      <c r="AA76" s="29" t="s">
        <v>6</v>
      </c>
      <c r="AB76" s="29" t="str">
        <f t="shared" si="1"/>
        <v>-</v>
      </c>
      <c r="AC76" s="2" t="s">
        <v>19</v>
      </c>
      <c r="AD76" s="29" t="str">
        <f t="shared" si="2"/>
        <v>_</v>
      </c>
      <c r="AE76" s="29" t="s">
        <v>17</v>
      </c>
      <c r="AF76" s="29" t="str">
        <f t="shared" si="3"/>
        <v>_</v>
      </c>
      <c r="AG76" s="29" t="s">
        <v>22</v>
      </c>
    </row>
    <row r="77" spans="1:33" x14ac:dyDescent="0.25">
      <c r="B77" s="2" t="str">
        <f t="shared" ref="B77" si="43">_xlfn.CONCAT("@",AA77,AB77,AC77,AD77,AE77,AF77,AG77)</f>
        <v>@color-trunk_case_paved_or_uk_farzoom</v>
      </c>
      <c r="C77" s="120" t="s">
        <v>239</v>
      </c>
      <c r="D77" s="82" t="s">
        <v>217</v>
      </c>
      <c r="E77"/>
      <c r="F77" s="120" t="s">
        <v>239</v>
      </c>
      <c r="G77" s="82" t="s">
        <v>217</v>
      </c>
      <c r="H77"/>
      <c r="I77" s="120" t="s">
        <v>239</v>
      </c>
      <c r="J77" s="82" t="s">
        <v>217</v>
      </c>
      <c r="K77"/>
      <c r="L77"/>
      <c r="M77"/>
      <c r="N77"/>
      <c r="O77" s="129"/>
      <c r="P77" s="129"/>
      <c r="Q77"/>
      <c r="R77" s="129"/>
      <c r="S77" s="129"/>
      <c r="U77"/>
      <c r="V77"/>
      <c r="W77"/>
      <c r="X77"/>
      <c r="Y77"/>
      <c r="Z77"/>
      <c r="AA77" s="2" t="s">
        <v>6</v>
      </c>
      <c r="AB77" s="2" t="str">
        <f t="shared" si="1"/>
        <v>-</v>
      </c>
      <c r="AC77" s="2" t="s">
        <v>19</v>
      </c>
      <c r="AD77" s="2" t="str">
        <f t="shared" si="2"/>
        <v>_</v>
      </c>
      <c r="AE77" s="2" t="s">
        <v>17</v>
      </c>
      <c r="AF77" s="2" t="str">
        <f t="shared" si="3"/>
        <v>_</v>
      </c>
      <c r="AG77" s="2" t="s">
        <v>240</v>
      </c>
    </row>
    <row r="78" spans="1:33" x14ac:dyDescent="0.25">
      <c r="B78" s="2" t="str">
        <f t="shared" si="39"/>
        <v>@color-trunk_case_paved_or_uk</v>
      </c>
      <c r="C78" s="96" t="s">
        <v>223</v>
      </c>
      <c r="D78" s="82" t="s">
        <v>217</v>
      </c>
      <c r="E78"/>
      <c r="F78" s="96" t="s">
        <v>223</v>
      </c>
      <c r="G78" s="82" t="s">
        <v>217</v>
      </c>
      <c r="H78"/>
      <c r="I78" s="96" t="s">
        <v>223</v>
      </c>
      <c r="J78" s="82" t="s">
        <v>217</v>
      </c>
      <c r="K78"/>
      <c r="L78"/>
      <c r="M78"/>
      <c r="N78"/>
      <c r="O78" s="129"/>
      <c r="P78" s="129"/>
      <c r="Q78"/>
      <c r="R78" s="129"/>
      <c r="S78" s="129"/>
      <c r="U78"/>
      <c r="V78"/>
      <c r="W78"/>
      <c r="X78"/>
      <c r="Y78"/>
      <c r="Z78"/>
      <c r="AA78" s="2" t="s">
        <v>6</v>
      </c>
      <c r="AB78" s="2" t="str">
        <f t="shared" si="1"/>
        <v>-</v>
      </c>
      <c r="AC78" s="2" t="s">
        <v>19</v>
      </c>
      <c r="AD78" s="2" t="str">
        <f t="shared" si="2"/>
        <v>_</v>
      </c>
      <c r="AE78" s="2" t="s">
        <v>17</v>
      </c>
      <c r="AF78" s="2" t="str">
        <f t="shared" si="3"/>
        <v>_</v>
      </c>
      <c r="AG78" s="2" t="s">
        <v>25</v>
      </c>
    </row>
    <row r="79" spans="1:33" x14ac:dyDescent="0.25">
      <c r="B79" s="2" t="str">
        <f t="shared" si="39"/>
        <v>@color-trunk_line_default</v>
      </c>
      <c r="C79" s="91" t="s">
        <v>224</v>
      </c>
      <c r="D79" s="93" t="s">
        <v>225</v>
      </c>
      <c r="E79"/>
      <c r="G79"/>
      <c r="H79"/>
      <c r="I79" s="129"/>
      <c r="J79" s="129"/>
      <c r="K79"/>
      <c r="L79" s="129"/>
      <c r="M79" s="129"/>
      <c r="N79"/>
      <c r="O79" s="86" t="str">
        <f>C79</f>
        <v>"#ffeeaa"</v>
      </c>
      <c r="P79" s="87" t="str">
        <f>D79</f>
        <v>"#ffc72e"</v>
      </c>
      <c r="Q79"/>
      <c r="R79"/>
      <c r="S79"/>
      <c r="U79"/>
      <c r="V79"/>
      <c r="W79"/>
      <c r="X79"/>
      <c r="Y79"/>
      <c r="Z79"/>
      <c r="AA79" s="2" t="s">
        <v>6</v>
      </c>
      <c r="AB79" s="2" t="str">
        <f t="shared" si="1"/>
        <v>-</v>
      </c>
      <c r="AC79" s="2" t="s">
        <v>19</v>
      </c>
      <c r="AD79" s="2" t="str">
        <f t="shared" si="2"/>
        <v>_</v>
      </c>
      <c r="AE79" s="2" t="s">
        <v>13</v>
      </c>
      <c r="AF79" s="2" t="str">
        <f t="shared" si="3"/>
        <v>_</v>
      </c>
      <c r="AG79" s="2" t="s">
        <v>278</v>
      </c>
    </row>
    <row r="80" spans="1:33" x14ac:dyDescent="0.25">
      <c r="B80" s="2" t="str">
        <f t="shared" si="39"/>
        <v>@color-trunk_line_bicycle_no</v>
      </c>
      <c r="C80" s="84" t="s">
        <v>216</v>
      </c>
      <c r="D80" s="85" t="s">
        <v>218</v>
      </c>
      <c r="E80"/>
      <c r="F80"/>
      <c r="G80"/>
      <c r="H80"/>
      <c r="I80" s="38" t="str">
        <f>C80</f>
        <v>"#ffcc88"</v>
      </c>
      <c r="J80" s="39" t="str">
        <f>D80</f>
        <v>"#d6771e"</v>
      </c>
      <c r="K80"/>
      <c r="L80"/>
      <c r="M80"/>
      <c r="N80"/>
      <c r="O80" s="38" t="str">
        <f>C80</f>
        <v>"#ffcc88"</v>
      </c>
      <c r="P80" s="39" t="str">
        <f>D80</f>
        <v>"#d6771e"</v>
      </c>
      <c r="Q80"/>
      <c r="R80"/>
      <c r="S80"/>
      <c r="U80"/>
      <c r="V80"/>
      <c r="W80"/>
      <c r="X80"/>
      <c r="Y80"/>
      <c r="Z80"/>
      <c r="AA80" s="2" t="s">
        <v>6</v>
      </c>
      <c r="AB80" s="2" t="str">
        <f t="shared" si="1"/>
        <v>-</v>
      </c>
      <c r="AC80" s="2" t="s">
        <v>19</v>
      </c>
      <c r="AD80" s="2" t="str">
        <f t="shared" si="2"/>
        <v>_</v>
      </c>
      <c r="AE80" s="2" t="s">
        <v>13</v>
      </c>
      <c r="AF80" s="2" t="str">
        <f t="shared" si="3"/>
        <v>_</v>
      </c>
      <c r="AG80" s="2" t="s">
        <v>24</v>
      </c>
    </row>
    <row r="81" spans="1:33" x14ac:dyDescent="0.25">
      <c r="B81" s="2" t="str">
        <f t="shared" si="39"/>
        <v>@color-trunk_line_unpaved</v>
      </c>
      <c r="C81" s="129"/>
      <c r="D81" s="129"/>
      <c r="E81"/>
      <c r="F81" s="129"/>
      <c r="G81" s="129"/>
      <c r="H81"/>
      <c r="I81" s="97" t="s">
        <v>228</v>
      </c>
      <c r="J81" s="88" t="str">
        <f>I81</f>
        <v>"#eddfca"</v>
      </c>
      <c r="K81"/>
      <c r="L81"/>
      <c r="M81"/>
      <c r="N81"/>
      <c r="O81" s="129"/>
      <c r="P81" s="129"/>
      <c r="Q81"/>
      <c r="R81" s="129"/>
      <c r="S81" s="129"/>
      <c r="U81"/>
      <c r="V81"/>
      <c r="W81"/>
      <c r="X81"/>
      <c r="Y81"/>
      <c r="Z81"/>
      <c r="AA81" s="2" t="s">
        <v>6</v>
      </c>
      <c r="AB81" s="2" t="str">
        <f t="shared" si="1"/>
        <v>-</v>
      </c>
      <c r="AC81" s="2" t="s">
        <v>19</v>
      </c>
      <c r="AD81" s="2" t="str">
        <f t="shared" si="2"/>
        <v>_</v>
      </c>
      <c r="AE81" s="2" t="s">
        <v>13</v>
      </c>
      <c r="AF81" s="2" t="str">
        <f t="shared" si="3"/>
        <v>_</v>
      </c>
      <c r="AG81" s="2" t="s">
        <v>22</v>
      </c>
    </row>
    <row r="82" spans="1:33" x14ac:dyDescent="0.25">
      <c r="B82" s="2" t="str">
        <f t="shared" si="39"/>
        <v>@color-trunk_line_paved_or_uk</v>
      </c>
      <c r="C82" s="129"/>
      <c r="D82" s="129"/>
      <c r="E82"/>
      <c r="F82" s="129"/>
      <c r="G82" s="129"/>
      <c r="H82"/>
      <c r="I82" s="98" t="s">
        <v>229</v>
      </c>
      <c r="J82" s="89" t="str">
        <f>I82</f>
        <v>"#ffffff"</v>
      </c>
      <c r="K82"/>
      <c r="L82"/>
      <c r="M82"/>
      <c r="N82"/>
      <c r="O82" s="129"/>
      <c r="P82" s="129"/>
      <c r="Q82"/>
      <c r="R82" s="129"/>
      <c r="S82" s="129"/>
      <c r="U82"/>
      <c r="V82"/>
      <c r="W82"/>
      <c r="X82"/>
      <c r="Y82"/>
      <c r="Z82"/>
      <c r="AA82" s="29" t="s">
        <v>6</v>
      </c>
      <c r="AB82" s="29" t="str">
        <f t="shared" si="1"/>
        <v>-</v>
      </c>
      <c r="AC82" s="29" t="s">
        <v>19</v>
      </c>
      <c r="AD82" s="29" t="str">
        <f t="shared" si="2"/>
        <v>_</v>
      </c>
      <c r="AE82" s="29" t="s">
        <v>13</v>
      </c>
      <c r="AF82" s="29" t="str">
        <f t="shared" si="3"/>
        <v>_</v>
      </c>
      <c r="AG82" s="29" t="s">
        <v>25</v>
      </c>
    </row>
    <row r="83" spans="1:33" x14ac:dyDescent="0.25">
      <c r="B83" s="2"/>
      <c r="C83"/>
      <c r="D83"/>
      <c r="E83"/>
      <c r="F83"/>
      <c r="G83"/>
      <c r="H83"/>
      <c r="J83"/>
      <c r="K83"/>
      <c r="L83"/>
      <c r="M83"/>
      <c r="N83"/>
      <c r="O83"/>
      <c r="P83"/>
      <c r="Q83"/>
      <c r="R83"/>
      <c r="S83"/>
      <c r="U83"/>
      <c r="V83"/>
      <c r="W83"/>
      <c r="X83"/>
      <c r="Y83"/>
      <c r="Z83"/>
      <c r="AB83" s="29" t="str">
        <f t="shared" si="1"/>
        <v/>
      </c>
      <c r="AD83" s="29" t="str">
        <f t="shared" si="2"/>
        <v/>
      </c>
      <c r="AF83" s="29" t="str">
        <f t="shared" si="3"/>
        <v/>
      </c>
    </row>
    <row r="84" spans="1:33" s="2" customFormat="1" x14ac:dyDescent="0.25">
      <c r="A84" s="4" t="s">
        <v>47</v>
      </c>
      <c r="B84" s="4"/>
      <c r="C84" s="4"/>
      <c r="D84" s="5"/>
      <c r="F84" s="5"/>
      <c r="G84" s="5"/>
      <c r="I84" s="5"/>
      <c r="J84" s="5"/>
      <c r="L84" s="5"/>
      <c r="M84" s="5"/>
      <c r="O84" s="5"/>
      <c r="P84" s="5"/>
      <c r="R84" s="5"/>
      <c r="S84" s="5"/>
      <c r="U84" s="5"/>
      <c r="V84" s="5"/>
      <c r="X84" s="5"/>
      <c r="Y84" s="5"/>
      <c r="AA84" s="5"/>
      <c r="AB84" s="5" t="str">
        <f t="shared" si="1"/>
        <v/>
      </c>
      <c r="AC84" s="5"/>
      <c r="AD84" s="5" t="str">
        <f t="shared" si="2"/>
        <v/>
      </c>
      <c r="AE84" s="5"/>
      <c r="AF84" s="5" t="str">
        <f t="shared" si="3"/>
        <v/>
      </c>
      <c r="AG84" s="5"/>
    </row>
    <row r="85" spans="1:33" x14ac:dyDescent="0.25">
      <c r="B85" s="2" t="str">
        <f t="shared" si="39"/>
        <v>@color-primary_case_bicycle_no</v>
      </c>
      <c r="C85" s="124" t="s">
        <v>237</v>
      </c>
      <c r="D85" s="82" t="s">
        <v>217</v>
      </c>
      <c r="E85"/>
      <c r="F85" s="82" t="s">
        <v>217</v>
      </c>
      <c r="G85"/>
      <c r="H85"/>
      <c r="I85" s="119" t="str">
        <f>C85</f>
        <v>"#bd430f"</v>
      </c>
      <c r="J85" s="115" t="str">
        <f>D85</f>
        <v>"#000000"</v>
      </c>
      <c r="K85"/>
      <c r="L85"/>
      <c r="M85"/>
      <c r="N85"/>
      <c r="O85" s="119" t="str">
        <f>C85</f>
        <v>"#bd430f"</v>
      </c>
      <c r="P85" s="115" t="str">
        <f>D85</f>
        <v>"#000000"</v>
      </c>
      <c r="Q85"/>
      <c r="R85"/>
      <c r="S85"/>
      <c r="U85"/>
      <c r="V85"/>
      <c r="W85"/>
      <c r="X85"/>
      <c r="Y85"/>
      <c r="Z85"/>
      <c r="AA85" s="29" t="s">
        <v>6</v>
      </c>
      <c r="AB85" s="2" t="str">
        <f t="shared" ref="AB85:AB162" si="44">IF(NOT(ISBLANK(AC85)),"-","")</f>
        <v>-</v>
      </c>
      <c r="AC85" s="2" t="s">
        <v>26</v>
      </c>
      <c r="AD85" s="2" t="str">
        <f t="shared" si="2"/>
        <v>_</v>
      </c>
      <c r="AE85" s="29" t="s">
        <v>17</v>
      </c>
      <c r="AF85" s="2" t="str">
        <f t="shared" si="3"/>
        <v>_</v>
      </c>
      <c r="AG85" s="29" t="s">
        <v>24</v>
      </c>
    </row>
    <row r="86" spans="1:33" x14ac:dyDescent="0.25">
      <c r="B86" s="2" t="str">
        <f>_xlfn.CONCAT("@",AA86,AB86,AC86,AD86,AE86,AF86,AG86)</f>
        <v>@color-primary_case_unpaved_farzoom</v>
      </c>
      <c r="C86" s="121" t="s">
        <v>238</v>
      </c>
      <c r="D86" s="122" t="s">
        <v>242</v>
      </c>
      <c r="E86"/>
      <c r="F86" s="121" t="s">
        <v>238</v>
      </c>
      <c r="G86" s="122" t="s">
        <v>242</v>
      </c>
      <c r="H86"/>
      <c r="I86" s="121" t="s">
        <v>238</v>
      </c>
      <c r="J86" s="122" t="s">
        <v>242</v>
      </c>
      <c r="K86"/>
      <c r="L86"/>
      <c r="M86"/>
      <c r="N86"/>
      <c r="O86" s="129"/>
      <c r="P86" s="129"/>
      <c r="Q86"/>
      <c r="R86" s="129"/>
      <c r="S86" s="129"/>
      <c r="U86"/>
      <c r="V86"/>
      <c r="W86"/>
      <c r="X86"/>
      <c r="Y86"/>
      <c r="Z86"/>
      <c r="AA86" s="29" t="s">
        <v>6</v>
      </c>
      <c r="AB86" s="2" t="str">
        <f>IF(NOT(ISBLANK(AC86)),"-","")</f>
        <v>-</v>
      </c>
      <c r="AC86" s="2" t="s">
        <v>26</v>
      </c>
      <c r="AD86" s="2" t="str">
        <f>IF(NOT(ISBLANK(AE86)),"_","")</f>
        <v>_</v>
      </c>
      <c r="AE86" s="29" t="s">
        <v>17</v>
      </c>
      <c r="AF86" s="2" t="str">
        <f>IF(NOT(ISBLANK(AG86)),"_","")</f>
        <v>_</v>
      </c>
      <c r="AG86" s="29" t="s">
        <v>241</v>
      </c>
    </row>
    <row r="87" spans="1:33" x14ac:dyDescent="0.25">
      <c r="B87" s="2" t="str">
        <f t="shared" si="39"/>
        <v>@color-primary_case_unpaved_default</v>
      </c>
      <c r="C87" s="99" t="s">
        <v>222</v>
      </c>
      <c r="D87" s="122" t="s">
        <v>242</v>
      </c>
      <c r="E87"/>
      <c r="F87" s="99" t="s">
        <v>222</v>
      </c>
      <c r="G87" s="122" t="s">
        <v>242</v>
      </c>
      <c r="H87"/>
      <c r="I87" s="99" t="s">
        <v>222</v>
      </c>
      <c r="J87" s="122" t="s">
        <v>242</v>
      </c>
      <c r="K87"/>
      <c r="L87"/>
      <c r="M87"/>
      <c r="N87"/>
      <c r="O87" s="129"/>
      <c r="P87" s="129"/>
      <c r="Q87"/>
      <c r="R87" s="129"/>
      <c r="S87" s="129"/>
      <c r="U87"/>
      <c r="V87"/>
      <c r="W87"/>
      <c r="X87"/>
      <c r="Y87"/>
      <c r="Z87"/>
      <c r="AA87" s="29" t="s">
        <v>6</v>
      </c>
      <c r="AB87" s="2" t="str">
        <f t="shared" si="44"/>
        <v>-</v>
      </c>
      <c r="AC87" s="2" t="s">
        <v>26</v>
      </c>
      <c r="AD87" s="2" t="str">
        <f t="shared" si="2"/>
        <v>_</v>
      </c>
      <c r="AE87" s="29" t="s">
        <v>17</v>
      </c>
      <c r="AF87" s="2" t="str">
        <f t="shared" si="3"/>
        <v>_</v>
      </c>
      <c r="AG87" s="29" t="s">
        <v>279</v>
      </c>
    </row>
    <row r="88" spans="1:33" x14ac:dyDescent="0.25">
      <c r="B88" s="2" t="str">
        <f t="shared" si="39"/>
        <v>@color-primary_case_paved_or_uk_farzoom</v>
      </c>
      <c r="C88" s="120" t="s">
        <v>239</v>
      </c>
      <c r="D88" s="82" t="s">
        <v>217</v>
      </c>
      <c r="E88"/>
      <c r="F88" s="120" t="s">
        <v>239</v>
      </c>
      <c r="G88" s="82" t="s">
        <v>217</v>
      </c>
      <c r="H88"/>
      <c r="I88" s="120" t="s">
        <v>239</v>
      </c>
      <c r="J88" s="82" t="s">
        <v>217</v>
      </c>
      <c r="K88"/>
      <c r="L88"/>
      <c r="M88"/>
      <c r="N88"/>
      <c r="O88" s="129"/>
      <c r="P88" s="129"/>
      <c r="Q88"/>
      <c r="R88" s="129"/>
      <c r="S88" s="129"/>
      <c r="U88"/>
      <c r="V88"/>
      <c r="W88"/>
      <c r="X88"/>
      <c r="Y88"/>
      <c r="Z88"/>
      <c r="AA88" s="2" t="s">
        <v>6</v>
      </c>
      <c r="AB88" s="2" t="str">
        <f t="shared" si="44"/>
        <v>-</v>
      </c>
      <c r="AC88" s="2" t="s">
        <v>26</v>
      </c>
      <c r="AD88" s="2" t="str">
        <f t="shared" ref="AD88" si="45">IF(NOT(ISBLANK(AE88)),"_","")</f>
        <v>_</v>
      </c>
      <c r="AE88" s="2" t="s">
        <v>17</v>
      </c>
      <c r="AF88" s="2" t="str">
        <f t="shared" ref="AF88" si="46">IF(NOT(ISBLANK(AG88)),"_","")</f>
        <v>_</v>
      </c>
      <c r="AG88" s="2" t="s">
        <v>240</v>
      </c>
    </row>
    <row r="89" spans="1:33" x14ac:dyDescent="0.25">
      <c r="B89" s="2" t="str">
        <f t="shared" si="39"/>
        <v>@color-primary_case_paved_or_uk_default</v>
      </c>
      <c r="C89" s="96" t="s">
        <v>223</v>
      </c>
      <c r="D89" s="82" t="s">
        <v>217</v>
      </c>
      <c r="E89"/>
      <c r="F89" s="96" t="s">
        <v>223</v>
      </c>
      <c r="G89" s="82" t="s">
        <v>217</v>
      </c>
      <c r="H89"/>
      <c r="I89" s="96" t="s">
        <v>223</v>
      </c>
      <c r="J89" s="82" t="s">
        <v>217</v>
      </c>
      <c r="K89"/>
      <c r="L89"/>
      <c r="M89"/>
      <c r="N89"/>
      <c r="O89" s="129"/>
      <c r="P89" s="129"/>
      <c r="Q89"/>
      <c r="R89" s="129"/>
      <c r="S89" s="129"/>
      <c r="U89"/>
      <c r="V89"/>
      <c r="W89"/>
      <c r="X89"/>
      <c r="Y89"/>
      <c r="Z89"/>
      <c r="AA89" s="2" t="s">
        <v>6</v>
      </c>
      <c r="AB89" s="2" t="str">
        <f t="shared" si="44"/>
        <v>-</v>
      </c>
      <c r="AC89" s="29" t="s">
        <v>26</v>
      </c>
      <c r="AD89" s="2" t="str">
        <f t="shared" ref="AD89:AD162" si="47">IF(NOT(ISBLANK(AE89)),"_","")</f>
        <v>_</v>
      </c>
      <c r="AE89" s="2" t="s">
        <v>17</v>
      </c>
      <c r="AF89" s="2" t="str">
        <f t="shared" ref="AF89:AF162" si="48">IF(NOT(ISBLANK(AG89)),"_","")</f>
        <v>_</v>
      </c>
      <c r="AG89" s="2" t="s">
        <v>280</v>
      </c>
    </row>
    <row r="90" spans="1:33" x14ac:dyDescent="0.25">
      <c r="B90" s="2" t="str">
        <f t="shared" si="39"/>
        <v>@color-primary_line_bicycle_no</v>
      </c>
      <c r="C90" s="127" t="s">
        <v>245</v>
      </c>
      <c r="D90" s="85" t="s">
        <v>218</v>
      </c>
      <c r="E90"/>
      <c r="F90"/>
      <c r="G90"/>
      <c r="H90"/>
      <c r="I90" s="126" t="str">
        <f>C90</f>
        <v>"#ffcc8a"</v>
      </c>
      <c r="J90" s="39" t="str">
        <f>D90</f>
        <v>"#d6771e"</v>
      </c>
      <c r="K90"/>
      <c r="L90"/>
      <c r="M90"/>
      <c r="N90"/>
      <c r="O90" s="126" t="str">
        <f>C90</f>
        <v>"#ffcc8a"</v>
      </c>
      <c r="P90" s="39" t="str">
        <f>D90</f>
        <v>"#d6771e"</v>
      </c>
      <c r="Q90"/>
      <c r="R90"/>
      <c r="S90"/>
      <c r="U90"/>
      <c r="V90"/>
      <c r="W90"/>
      <c r="X90"/>
      <c r="Y90"/>
      <c r="Z90"/>
      <c r="AA90" s="29" t="s">
        <v>6</v>
      </c>
      <c r="AB90" s="2" t="str">
        <f t="shared" si="44"/>
        <v>-</v>
      </c>
      <c r="AC90" s="29" t="s">
        <v>26</v>
      </c>
      <c r="AD90" s="2" t="str">
        <f t="shared" si="47"/>
        <v>_</v>
      </c>
      <c r="AE90" s="29" t="s">
        <v>13</v>
      </c>
      <c r="AF90" s="2" t="str">
        <f t="shared" si="48"/>
        <v>_</v>
      </c>
      <c r="AG90" s="29" t="s">
        <v>24</v>
      </c>
    </row>
    <row r="91" spans="1:33" x14ac:dyDescent="0.25">
      <c r="B91" s="2" t="str">
        <f t="shared" si="39"/>
        <v>@color-primary_line</v>
      </c>
      <c r="C91" s="91" t="s">
        <v>224</v>
      </c>
      <c r="D91" s="92" t="s">
        <v>230</v>
      </c>
      <c r="E91"/>
      <c r="F91"/>
      <c r="G91"/>
      <c r="H91"/>
      <c r="I91" s="129"/>
      <c r="J91" s="129"/>
      <c r="K91"/>
      <c r="L91" s="129"/>
      <c r="M91" s="129"/>
      <c r="N91"/>
      <c r="O91" s="128" t="s">
        <v>230</v>
      </c>
      <c r="P91" s="128" t="str">
        <f>D91</f>
        <v>"#ffe16b"</v>
      </c>
      <c r="Q91"/>
      <c r="R91"/>
      <c r="S91"/>
      <c r="U91"/>
      <c r="V91"/>
      <c r="W91"/>
      <c r="X91"/>
      <c r="Y91"/>
      <c r="Z91"/>
      <c r="AA91" s="29" t="s">
        <v>6</v>
      </c>
      <c r="AB91" s="29" t="str">
        <f t="shared" si="44"/>
        <v>-</v>
      </c>
      <c r="AC91" s="29" t="s">
        <v>26</v>
      </c>
      <c r="AD91" s="29" t="str">
        <f t="shared" si="47"/>
        <v>_</v>
      </c>
      <c r="AE91" s="29" t="s">
        <v>13</v>
      </c>
      <c r="AF91" s="29" t="str">
        <f t="shared" si="48"/>
        <v/>
      </c>
    </row>
    <row r="92" spans="1:33" x14ac:dyDescent="0.25">
      <c r="B92" s="2" t="str">
        <f t="shared" si="39"/>
        <v>@color-primary_line_unpaved</v>
      </c>
      <c r="C92" s="129"/>
      <c r="D92" s="129"/>
      <c r="E92"/>
      <c r="F92" s="129"/>
      <c r="G92" s="129"/>
      <c r="H92"/>
      <c r="I92" s="97" t="s">
        <v>228</v>
      </c>
      <c r="J92" s="88" t="str">
        <f>I92</f>
        <v>"#eddfca"</v>
      </c>
      <c r="K92"/>
      <c r="L92"/>
      <c r="M92"/>
      <c r="N92"/>
      <c r="O92" s="129"/>
      <c r="P92" s="129"/>
      <c r="Q92"/>
      <c r="R92" s="129"/>
      <c r="S92" s="129"/>
      <c r="U92"/>
      <c r="V92"/>
      <c r="W92"/>
      <c r="X92"/>
      <c r="Y92"/>
      <c r="Z92"/>
      <c r="AA92" s="2" t="s">
        <v>6</v>
      </c>
      <c r="AB92" s="2" t="str">
        <f t="shared" si="44"/>
        <v>-</v>
      </c>
      <c r="AC92" s="2" t="s">
        <v>26</v>
      </c>
      <c r="AD92" s="2" t="str">
        <f t="shared" si="47"/>
        <v>_</v>
      </c>
      <c r="AE92" s="2" t="s">
        <v>13</v>
      </c>
      <c r="AF92" s="2" t="str">
        <f t="shared" si="48"/>
        <v>_</v>
      </c>
      <c r="AG92" s="2" t="s">
        <v>22</v>
      </c>
    </row>
    <row r="93" spans="1:33" x14ac:dyDescent="0.25">
      <c r="B93" s="2" t="str">
        <f t="shared" si="39"/>
        <v>@color-primary_line_paved_or_uk</v>
      </c>
      <c r="C93" s="129"/>
      <c r="D93" s="129"/>
      <c r="E93"/>
      <c r="F93" s="129"/>
      <c r="G93" s="129"/>
      <c r="H93"/>
      <c r="I93" s="98" t="s">
        <v>229</v>
      </c>
      <c r="J93" s="89" t="str">
        <f>I93</f>
        <v>"#ffffff"</v>
      </c>
      <c r="K93"/>
      <c r="L93"/>
      <c r="M93"/>
      <c r="N93"/>
      <c r="O93" s="129"/>
      <c r="P93" s="129"/>
      <c r="Q93"/>
      <c r="R93" s="129"/>
      <c r="S93" s="129"/>
      <c r="U93"/>
      <c r="V93"/>
      <c r="W93"/>
      <c r="X93"/>
      <c r="Y93"/>
      <c r="Z93"/>
      <c r="AA93" s="2" t="s">
        <v>6</v>
      </c>
      <c r="AB93" s="2" t="str">
        <f t="shared" si="44"/>
        <v>-</v>
      </c>
      <c r="AC93" s="2" t="s">
        <v>26</v>
      </c>
      <c r="AD93" s="2" t="str">
        <f t="shared" si="47"/>
        <v>_</v>
      </c>
      <c r="AE93" s="2" t="s">
        <v>13</v>
      </c>
      <c r="AF93" s="2" t="str">
        <f t="shared" si="48"/>
        <v>_</v>
      </c>
      <c r="AG93" s="2" t="s">
        <v>25</v>
      </c>
    </row>
    <row r="94" spans="1:33" x14ac:dyDescent="0.25">
      <c r="B94" s="2"/>
      <c r="C94" s="90"/>
      <c r="D94" s="90"/>
      <c r="E94"/>
      <c r="F94"/>
      <c r="G94"/>
      <c r="H94"/>
      <c r="I94" s="90"/>
      <c r="J94"/>
      <c r="K94"/>
      <c r="L94"/>
      <c r="M94"/>
      <c r="N94"/>
      <c r="O94"/>
      <c r="P94"/>
      <c r="Q94"/>
      <c r="R94"/>
      <c r="S94"/>
      <c r="U94"/>
      <c r="V94"/>
      <c r="W94"/>
      <c r="X94"/>
      <c r="Y94"/>
      <c r="Z94"/>
      <c r="AB94" s="2"/>
      <c r="AD94" s="2"/>
      <c r="AF94" s="2" t="str">
        <f t="shared" ref="AF94:AF105" si="49">IF(NOT(ISBLANK(AG94)),"_","")</f>
        <v/>
      </c>
    </row>
    <row r="95" spans="1:33" x14ac:dyDescent="0.25">
      <c r="B95" s="2" t="str">
        <f t="shared" ref="B95:B105" si="50">_xlfn.CONCAT("@",AA95,AB95,AC95,AD95,AE95,AF95,AG95)</f>
        <v>@color-secondary_case_farzoom</v>
      </c>
      <c r="C95" s="116" t="s">
        <v>234</v>
      </c>
      <c r="D95" s="82" t="s">
        <v>217</v>
      </c>
      <c r="E95"/>
      <c r="F95" s="82" t="s">
        <v>217</v>
      </c>
      <c r="G95"/>
      <c r="H95"/>
      <c r="I95" s="129"/>
      <c r="J95" s="129"/>
      <c r="K95"/>
      <c r="L95" s="129"/>
      <c r="M95" s="129"/>
      <c r="N95"/>
      <c r="O95" s="118" t="s">
        <v>236</v>
      </c>
      <c r="P95" s="115" t="str">
        <f>D95</f>
        <v>"#000000"</v>
      </c>
      <c r="Q95"/>
      <c r="R95"/>
      <c r="S95"/>
      <c r="U95"/>
      <c r="V95"/>
      <c r="W95"/>
      <c r="X95"/>
      <c r="Y95"/>
      <c r="Z95"/>
      <c r="AA95" s="2" t="s">
        <v>6</v>
      </c>
      <c r="AB95" s="2" t="str">
        <f t="shared" ref="AB95:AB105" si="51">IF(NOT(ISBLANK(AC95)),"-","")</f>
        <v>-</v>
      </c>
      <c r="AC95" s="2" t="s">
        <v>28</v>
      </c>
      <c r="AD95" s="2" t="str">
        <f t="shared" ref="AD95:AD105" si="52">IF(NOT(ISBLANK(AE95)),"_","")</f>
        <v>_</v>
      </c>
      <c r="AE95" s="2" t="s">
        <v>17</v>
      </c>
      <c r="AF95" s="2" t="str">
        <f t="shared" si="49"/>
        <v>_</v>
      </c>
      <c r="AG95" s="2" t="s">
        <v>21</v>
      </c>
    </row>
    <row r="96" spans="1:33" x14ac:dyDescent="0.25">
      <c r="B96" s="2" t="str">
        <f t="shared" si="50"/>
        <v>@color-secondary_case</v>
      </c>
      <c r="C96" s="117" t="s">
        <v>235</v>
      </c>
      <c r="D96" s="82" t="s">
        <v>217</v>
      </c>
      <c r="E96"/>
      <c r="F96" s="82" t="s">
        <v>217</v>
      </c>
      <c r="G96"/>
      <c r="H96"/>
      <c r="I96" s="129"/>
      <c r="J96" s="129"/>
      <c r="K96"/>
      <c r="L96" s="129"/>
      <c r="M96" s="129"/>
      <c r="N96"/>
      <c r="O96" s="118" t="s">
        <v>236</v>
      </c>
      <c r="P96" s="115" t="str">
        <f>D96</f>
        <v>"#000000"</v>
      </c>
      <c r="Q96"/>
      <c r="R96"/>
      <c r="S96"/>
      <c r="U96"/>
      <c r="V96"/>
      <c r="W96"/>
      <c r="X96"/>
      <c r="Y96"/>
      <c r="Z96"/>
      <c r="AA96" s="2" t="s">
        <v>6</v>
      </c>
      <c r="AB96" s="2" t="str">
        <f t="shared" si="51"/>
        <v>-</v>
      </c>
      <c r="AC96" s="2" t="s">
        <v>28</v>
      </c>
      <c r="AD96" s="2" t="str">
        <f t="shared" si="52"/>
        <v>_</v>
      </c>
      <c r="AE96" s="2" t="s">
        <v>17</v>
      </c>
      <c r="AF96" s="2" t="str">
        <f t="shared" si="49"/>
        <v/>
      </c>
      <c r="AG96" s="2"/>
    </row>
    <row r="97" spans="2:33" x14ac:dyDescent="0.25">
      <c r="B97" s="2" t="str">
        <f t="shared" si="50"/>
        <v>@color-secondary_case_bicycle_no</v>
      </c>
      <c r="C97" s="124" t="s">
        <v>237</v>
      </c>
      <c r="D97" s="82" t="s">
        <v>217</v>
      </c>
      <c r="E97"/>
      <c r="F97" s="82" t="s">
        <v>217</v>
      </c>
      <c r="G97"/>
      <c r="H97"/>
      <c r="I97" s="119" t="str">
        <f>C97</f>
        <v>"#bd430f"</v>
      </c>
      <c r="J97" s="115" t="str">
        <f>D97</f>
        <v>"#000000"</v>
      </c>
      <c r="K97"/>
      <c r="L97"/>
      <c r="M97"/>
      <c r="N97"/>
      <c r="O97" s="119" t="str">
        <f>C97</f>
        <v>"#bd430f"</v>
      </c>
      <c r="P97" s="115" t="str">
        <f>D97</f>
        <v>"#000000"</v>
      </c>
      <c r="Q97"/>
      <c r="R97"/>
      <c r="S97"/>
      <c r="U97"/>
      <c r="V97"/>
      <c r="W97"/>
      <c r="X97"/>
      <c r="Y97"/>
      <c r="Z97"/>
      <c r="AA97" s="29" t="s">
        <v>6</v>
      </c>
      <c r="AB97" s="2" t="str">
        <f t="shared" si="51"/>
        <v>-</v>
      </c>
      <c r="AC97" s="2" t="s">
        <v>28</v>
      </c>
      <c r="AD97" s="2" t="str">
        <f t="shared" si="52"/>
        <v>_</v>
      </c>
      <c r="AE97" s="29" t="s">
        <v>17</v>
      </c>
      <c r="AF97" s="2" t="str">
        <f t="shared" si="49"/>
        <v>_</v>
      </c>
      <c r="AG97" s="29" t="s">
        <v>24</v>
      </c>
    </row>
    <row r="98" spans="2:33" x14ac:dyDescent="0.25">
      <c r="B98" s="2" t="str">
        <f>_xlfn.CONCAT("@",AA98,AB98,AC98,AD98,AE98,AF98,AG98)</f>
        <v>@color-secondary_case_unpaved_farzoom</v>
      </c>
      <c r="C98" s="129"/>
      <c r="D98" s="129"/>
      <c r="E98"/>
      <c r="F98" s="129"/>
      <c r="G98" s="129"/>
      <c r="H98"/>
      <c r="I98" s="121" t="s">
        <v>238</v>
      </c>
      <c r="J98" s="122" t="s">
        <v>242</v>
      </c>
      <c r="K98"/>
      <c r="L98"/>
      <c r="M98"/>
      <c r="N98"/>
      <c r="O98" s="129"/>
      <c r="P98" s="129"/>
      <c r="Q98"/>
      <c r="R98" s="129"/>
      <c r="S98" s="129"/>
      <c r="U98"/>
      <c r="V98"/>
      <c r="W98"/>
      <c r="X98"/>
      <c r="Y98"/>
      <c r="Z98"/>
      <c r="AA98" s="29" t="s">
        <v>6</v>
      </c>
      <c r="AB98" s="2" t="str">
        <f>IF(NOT(ISBLANK(AC98)),"-","")</f>
        <v>-</v>
      </c>
      <c r="AC98" s="2" t="s">
        <v>28</v>
      </c>
      <c r="AD98" s="2" t="str">
        <f>IF(NOT(ISBLANK(AE98)),"_","")</f>
        <v>_</v>
      </c>
      <c r="AE98" s="29" t="s">
        <v>17</v>
      </c>
      <c r="AF98" s="2" t="str">
        <f>IF(NOT(ISBLANK(AG98)),"_","")</f>
        <v>_</v>
      </c>
      <c r="AG98" s="29" t="s">
        <v>241</v>
      </c>
    </row>
    <row r="99" spans="2:33" x14ac:dyDescent="0.25">
      <c r="B99" s="2" t="str">
        <f t="shared" si="50"/>
        <v>@color-secondary_case_unpaved</v>
      </c>
      <c r="C99" s="129"/>
      <c r="D99" s="129"/>
      <c r="E99"/>
      <c r="F99" s="129"/>
      <c r="G99" s="129"/>
      <c r="H99"/>
      <c r="I99" s="122" t="s">
        <v>242</v>
      </c>
      <c r="J99" s="122" t="s">
        <v>242</v>
      </c>
      <c r="K99"/>
      <c r="L99"/>
      <c r="M99"/>
      <c r="N99"/>
      <c r="O99" s="129"/>
      <c r="P99" s="129"/>
      <c r="Q99"/>
      <c r="R99" s="129"/>
      <c r="S99" s="129"/>
      <c r="U99"/>
      <c r="V99"/>
      <c r="W99"/>
      <c r="X99"/>
      <c r="Y99"/>
      <c r="Z99"/>
      <c r="AA99" s="29" t="s">
        <v>6</v>
      </c>
      <c r="AB99" s="2" t="str">
        <f t="shared" si="51"/>
        <v>-</v>
      </c>
      <c r="AC99" s="2" t="s">
        <v>28</v>
      </c>
      <c r="AD99" s="2" t="str">
        <f t="shared" si="52"/>
        <v>_</v>
      </c>
      <c r="AE99" s="29" t="s">
        <v>17</v>
      </c>
      <c r="AF99" s="2" t="str">
        <f t="shared" si="49"/>
        <v>_</v>
      </c>
      <c r="AG99" s="29" t="s">
        <v>22</v>
      </c>
    </row>
    <row r="100" spans="2:33" x14ac:dyDescent="0.25">
      <c r="B100" s="2" t="str">
        <f t="shared" si="50"/>
        <v>@color-secondary_case_paved_or_uk_farzoom</v>
      </c>
      <c r="C100" s="129"/>
      <c r="D100" s="129"/>
      <c r="E100"/>
      <c r="F100" s="129"/>
      <c r="G100" s="129"/>
      <c r="H100"/>
      <c r="I100" s="120" t="s">
        <v>239</v>
      </c>
      <c r="J100" s="82" t="s">
        <v>217</v>
      </c>
      <c r="K100"/>
      <c r="L100"/>
      <c r="M100"/>
      <c r="N100"/>
      <c r="O100" s="129"/>
      <c r="P100" s="129"/>
      <c r="Q100"/>
      <c r="R100" s="129"/>
      <c r="S100" s="129"/>
      <c r="U100"/>
      <c r="V100"/>
      <c r="W100"/>
      <c r="X100"/>
      <c r="Y100"/>
      <c r="Z100"/>
      <c r="AA100" s="2" t="s">
        <v>6</v>
      </c>
      <c r="AB100" s="2" t="str">
        <f t="shared" si="51"/>
        <v>-</v>
      </c>
      <c r="AC100" s="2" t="s">
        <v>28</v>
      </c>
      <c r="AD100" s="2" t="str">
        <f t="shared" si="52"/>
        <v>_</v>
      </c>
      <c r="AE100" s="2" t="s">
        <v>17</v>
      </c>
      <c r="AF100" s="2" t="str">
        <f t="shared" si="49"/>
        <v>_</v>
      </c>
      <c r="AG100" s="2" t="s">
        <v>240</v>
      </c>
    </row>
    <row r="101" spans="2:33" x14ac:dyDescent="0.25">
      <c r="B101" s="2" t="str">
        <f t="shared" si="50"/>
        <v>@color-secondary_case_paved_or_uk</v>
      </c>
      <c r="C101" s="129"/>
      <c r="D101" s="129"/>
      <c r="E101"/>
      <c r="F101" s="129"/>
      <c r="G101" s="129"/>
      <c r="H101"/>
      <c r="I101" s="123" t="s">
        <v>243</v>
      </c>
      <c r="J101" s="82" t="s">
        <v>217</v>
      </c>
      <c r="K101"/>
      <c r="L101"/>
      <c r="M101"/>
      <c r="N101"/>
      <c r="O101" s="129"/>
      <c r="P101" s="129"/>
      <c r="Q101"/>
      <c r="R101" s="129"/>
      <c r="S101" s="129"/>
      <c r="U101"/>
      <c r="V101"/>
      <c r="W101"/>
      <c r="X101"/>
      <c r="Y101"/>
      <c r="Z101"/>
      <c r="AA101" s="2" t="s">
        <v>6</v>
      </c>
      <c r="AB101" s="2" t="str">
        <f t="shared" si="51"/>
        <v>-</v>
      </c>
      <c r="AC101" s="2" t="s">
        <v>28</v>
      </c>
      <c r="AD101" s="2" t="str">
        <f t="shared" si="52"/>
        <v>_</v>
      </c>
      <c r="AE101" s="2" t="s">
        <v>17</v>
      </c>
      <c r="AF101" s="2" t="str">
        <f t="shared" si="49"/>
        <v>_</v>
      </c>
      <c r="AG101" s="2" t="s">
        <v>25</v>
      </c>
    </row>
    <row r="102" spans="2:33" x14ac:dyDescent="0.25">
      <c r="B102" s="2" t="str">
        <f t="shared" si="50"/>
        <v>@color-secondary_line_bicycle_no</v>
      </c>
      <c r="C102" s="127" t="s">
        <v>245</v>
      </c>
      <c r="D102" s="85" t="s">
        <v>218</v>
      </c>
      <c r="E102"/>
      <c r="F102"/>
      <c r="G102"/>
      <c r="H102"/>
      <c r="I102" s="126" t="str">
        <f>C102</f>
        <v>"#ffcc8a"</v>
      </c>
      <c r="J102" s="39" t="str">
        <f>D102</f>
        <v>"#d6771e"</v>
      </c>
      <c r="K102"/>
      <c r="L102"/>
      <c r="M102"/>
      <c r="N102"/>
      <c r="O102" s="126" t="str">
        <f>C102</f>
        <v>"#ffcc8a"</v>
      </c>
      <c r="P102" s="39" t="str">
        <f>J102</f>
        <v>"#d6771e"</v>
      </c>
      <c r="Q102"/>
      <c r="R102"/>
      <c r="S102"/>
      <c r="U102"/>
      <c r="V102"/>
      <c r="W102"/>
      <c r="X102"/>
      <c r="Y102"/>
      <c r="Z102"/>
      <c r="AA102" s="29" t="s">
        <v>6</v>
      </c>
      <c r="AB102" s="2" t="str">
        <f t="shared" si="51"/>
        <v>-</v>
      </c>
      <c r="AC102" s="2" t="s">
        <v>28</v>
      </c>
      <c r="AD102" s="2" t="str">
        <f t="shared" si="52"/>
        <v>_</v>
      </c>
      <c r="AE102" s="29" t="s">
        <v>13</v>
      </c>
      <c r="AF102" s="2" t="str">
        <f t="shared" si="49"/>
        <v>_</v>
      </c>
      <c r="AG102" s="29" t="s">
        <v>24</v>
      </c>
    </row>
    <row r="103" spans="2:33" x14ac:dyDescent="0.25">
      <c r="B103" s="2" t="str">
        <f t="shared" si="50"/>
        <v>@color-secondary_line</v>
      </c>
      <c r="C103" s="125" t="s">
        <v>244</v>
      </c>
      <c r="D103" s="92" t="s">
        <v>230</v>
      </c>
      <c r="E103"/>
      <c r="F103"/>
      <c r="G103"/>
      <c r="H103"/>
      <c r="I103" s="129"/>
      <c r="J103" s="129"/>
      <c r="K103"/>
      <c r="L103" s="129"/>
      <c r="M103" s="129"/>
      <c r="N103"/>
      <c r="O103" s="128" t="s">
        <v>230</v>
      </c>
      <c r="P103" s="128" t="str">
        <f>D103</f>
        <v>"#ffe16b"</v>
      </c>
      <c r="Q103"/>
      <c r="R103"/>
      <c r="S103"/>
      <c r="U103"/>
      <c r="V103"/>
      <c r="W103"/>
      <c r="X103"/>
      <c r="Y103"/>
      <c r="Z103"/>
      <c r="AA103" s="29" t="s">
        <v>6</v>
      </c>
      <c r="AB103" s="29" t="str">
        <f t="shared" si="51"/>
        <v>-</v>
      </c>
      <c r="AC103" s="2" t="s">
        <v>28</v>
      </c>
      <c r="AD103" s="29" t="str">
        <f t="shared" si="52"/>
        <v>_</v>
      </c>
      <c r="AE103" s="29" t="s">
        <v>13</v>
      </c>
      <c r="AF103" s="2" t="str">
        <f t="shared" si="49"/>
        <v/>
      </c>
    </row>
    <row r="104" spans="2:33" x14ac:dyDescent="0.25">
      <c r="B104" s="2" t="str">
        <f t="shared" si="50"/>
        <v>@color-secondary_line_unpaved</v>
      </c>
      <c r="C104" s="129"/>
      <c r="D104" s="129"/>
      <c r="E104"/>
      <c r="F104" s="129"/>
      <c r="G104" s="129"/>
      <c r="H104"/>
      <c r="I104" s="97" t="s">
        <v>228</v>
      </c>
      <c r="J104" s="88" t="str">
        <f>I104</f>
        <v>"#eddfca"</v>
      </c>
      <c r="K104"/>
      <c r="L104"/>
      <c r="M104"/>
      <c r="N104"/>
      <c r="O104" s="129"/>
      <c r="P104" s="129"/>
      <c r="Q104"/>
      <c r="R104" s="129"/>
      <c r="S104" s="129"/>
      <c r="U104"/>
      <c r="V104"/>
      <c r="W104"/>
      <c r="X104"/>
      <c r="Y104"/>
      <c r="Z104"/>
      <c r="AA104" s="2" t="s">
        <v>6</v>
      </c>
      <c r="AB104" s="2" t="str">
        <f t="shared" si="51"/>
        <v>-</v>
      </c>
      <c r="AC104" s="2" t="s">
        <v>28</v>
      </c>
      <c r="AD104" s="2" t="str">
        <f t="shared" si="52"/>
        <v>_</v>
      </c>
      <c r="AE104" s="2" t="s">
        <v>13</v>
      </c>
      <c r="AF104" s="2" t="str">
        <f t="shared" si="49"/>
        <v>_</v>
      </c>
      <c r="AG104" s="2" t="s">
        <v>22</v>
      </c>
    </row>
    <row r="105" spans="2:33" x14ac:dyDescent="0.25">
      <c r="B105" s="2" t="str">
        <f t="shared" si="50"/>
        <v>@color-secondary_line_paved_or_uk</v>
      </c>
      <c r="C105" s="129"/>
      <c r="D105" s="129"/>
      <c r="E105"/>
      <c r="F105" s="129"/>
      <c r="G105" s="129"/>
      <c r="H105"/>
      <c r="I105" s="98" t="s">
        <v>229</v>
      </c>
      <c r="J105" s="89" t="str">
        <f>I105</f>
        <v>"#ffffff"</v>
      </c>
      <c r="K105"/>
      <c r="L105"/>
      <c r="M105"/>
      <c r="N105"/>
      <c r="O105" s="129"/>
      <c r="P105" s="129"/>
      <c r="Q105"/>
      <c r="R105" s="129"/>
      <c r="S105" s="129"/>
      <c r="U105"/>
      <c r="V105"/>
      <c r="W105"/>
      <c r="X105"/>
      <c r="Y105"/>
      <c r="Z105"/>
      <c r="AA105" s="2" t="s">
        <v>6</v>
      </c>
      <c r="AB105" s="2" t="str">
        <f t="shared" si="51"/>
        <v>-</v>
      </c>
      <c r="AC105" s="2" t="s">
        <v>28</v>
      </c>
      <c r="AD105" s="2" t="str">
        <f t="shared" si="52"/>
        <v>_</v>
      </c>
      <c r="AE105" s="2" t="s">
        <v>13</v>
      </c>
      <c r="AF105" s="2" t="str">
        <f t="shared" si="49"/>
        <v>_</v>
      </c>
      <c r="AG105" s="2" t="s">
        <v>25</v>
      </c>
    </row>
    <row r="106" spans="2:33" x14ac:dyDescent="0.25">
      <c r="B106" s="2"/>
      <c r="C106" s="90"/>
      <c r="D106" s="90"/>
      <c r="E106"/>
      <c r="F106"/>
      <c r="G106"/>
      <c r="H106"/>
      <c r="I106" s="90"/>
      <c r="J106"/>
      <c r="K106"/>
      <c r="L106"/>
      <c r="M106"/>
      <c r="N106"/>
      <c r="O106"/>
      <c r="P106"/>
      <c r="Q106"/>
      <c r="R106"/>
      <c r="S106"/>
      <c r="U106"/>
      <c r="V106"/>
      <c r="W106"/>
      <c r="X106"/>
      <c r="Y106"/>
      <c r="Z106"/>
      <c r="AB106" s="2"/>
      <c r="AD106" s="2"/>
      <c r="AF106" s="2" t="str">
        <f t="shared" si="48"/>
        <v/>
      </c>
    </row>
    <row r="107" spans="2:33" x14ac:dyDescent="0.25">
      <c r="B107" s="2" t="str">
        <f t="shared" si="39"/>
        <v>@color-tertiary_case_farzoom</v>
      </c>
      <c r="C107" s="116" t="s">
        <v>234</v>
      </c>
      <c r="D107" s="82" t="s">
        <v>217</v>
      </c>
      <c r="E107"/>
      <c r="F107" s="82" t="s">
        <v>217</v>
      </c>
      <c r="G107"/>
      <c r="H107"/>
      <c r="I107" s="129"/>
      <c r="J107" s="129"/>
      <c r="K107"/>
      <c r="L107" s="129"/>
      <c r="M107" s="129"/>
      <c r="N107"/>
      <c r="O107" s="118" t="s">
        <v>236</v>
      </c>
      <c r="P107" s="115" t="str">
        <f>D107</f>
        <v>"#000000"</v>
      </c>
      <c r="Q107"/>
      <c r="R107"/>
      <c r="S107"/>
      <c r="U107"/>
      <c r="V107"/>
      <c r="W107"/>
      <c r="X107"/>
      <c r="Y107"/>
      <c r="Z107"/>
      <c r="AA107" s="2" t="s">
        <v>6</v>
      </c>
      <c r="AB107" s="2" t="str">
        <f t="shared" ref="AB107" si="53">IF(NOT(ISBLANK(AC107)),"-","")</f>
        <v>-</v>
      </c>
      <c r="AC107" s="2" t="s">
        <v>27</v>
      </c>
      <c r="AD107" s="2" t="str">
        <f t="shared" ref="AD107" si="54">IF(NOT(ISBLANK(AE107)),"_","")</f>
        <v>_</v>
      </c>
      <c r="AE107" s="2" t="s">
        <v>17</v>
      </c>
      <c r="AF107" s="2" t="str">
        <f t="shared" ref="AF107" si="55">IF(NOT(ISBLANK(AG107)),"_","")</f>
        <v>_</v>
      </c>
      <c r="AG107" s="2" t="s">
        <v>21</v>
      </c>
    </row>
    <row r="108" spans="2:33" x14ac:dyDescent="0.25">
      <c r="B108" s="2" t="str">
        <f t="shared" si="39"/>
        <v>@color-tertiary_case</v>
      </c>
      <c r="C108" s="117" t="s">
        <v>235</v>
      </c>
      <c r="D108" s="82" t="s">
        <v>217</v>
      </c>
      <c r="E108"/>
      <c r="F108" s="82" t="s">
        <v>217</v>
      </c>
      <c r="G108"/>
      <c r="H108"/>
      <c r="I108" s="129"/>
      <c r="J108" s="129"/>
      <c r="K108"/>
      <c r="L108" s="129"/>
      <c r="M108" s="129"/>
      <c r="N108"/>
      <c r="O108" s="118" t="s">
        <v>236</v>
      </c>
      <c r="P108" s="115" t="str">
        <f>D108</f>
        <v>"#000000"</v>
      </c>
      <c r="Q108"/>
      <c r="R108"/>
      <c r="S108"/>
      <c r="U108"/>
      <c r="V108"/>
      <c r="W108"/>
      <c r="X108"/>
      <c r="Y108"/>
      <c r="Z108"/>
      <c r="AA108" s="2" t="s">
        <v>6</v>
      </c>
      <c r="AB108" s="2" t="str">
        <f t="shared" ref="AB108:AB117" si="56">IF(NOT(ISBLANK(AC108)),"-","")</f>
        <v>-</v>
      </c>
      <c r="AC108" s="2" t="s">
        <v>27</v>
      </c>
      <c r="AD108" s="2" t="str">
        <f t="shared" ref="AD108:AD117" si="57">IF(NOT(ISBLANK(AE108)),"_","")</f>
        <v>_</v>
      </c>
      <c r="AE108" s="2" t="s">
        <v>17</v>
      </c>
      <c r="AF108" s="2" t="str">
        <f t="shared" si="48"/>
        <v/>
      </c>
      <c r="AG108" s="2"/>
    </row>
    <row r="109" spans="2:33" x14ac:dyDescent="0.25">
      <c r="B109" s="2" t="str">
        <f t="shared" si="39"/>
        <v>@color-tertiary_case_bicycle_no</v>
      </c>
      <c r="C109" s="124" t="s">
        <v>237</v>
      </c>
      <c r="D109" s="82" t="s">
        <v>217</v>
      </c>
      <c r="E109"/>
      <c r="F109" s="82" t="s">
        <v>217</v>
      </c>
      <c r="G109"/>
      <c r="H109"/>
      <c r="I109" s="119" t="str">
        <f>C109</f>
        <v>"#bd430f"</v>
      </c>
      <c r="J109" s="115" t="str">
        <f>D109</f>
        <v>"#000000"</v>
      </c>
      <c r="K109"/>
      <c r="L109"/>
      <c r="M109"/>
      <c r="N109"/>
      <c r="O109" s="119" t="str">
        <f>C109</f>
        <v>"#bd430f"</v>
      </c>
      <c r="P109" s="115" t="str">
        <f>D109</f>
        <v>"#000000"</v>
      </c>
      <c r="Q109"/>
      <c r="R109"/>
      <c r="S109"/>
      <c r="U109"/>
      <c r="V109"/>
      <c r="W109"/>
      <c r="X109"/>
      <c r="Y109"/>
      <c r="Z109"/>
      <c r="AA109" s="29" t="s">
        <v>6</v>
      </c>
      <c r="AB109" s="2" t="str">
        <f t="shared" ref="AB109:AB110" si="58">IF(NOT(ISBLANK(AC109)),"-","")</f>
        <v>-</v>
      </c>
      <c r="AC109" s="2" t="s">
        <v>27</v>
      </c>
      <c r="AD109" s="2" t="str">
        <f t="shared" ref="AD109:AD110" si="59">IF(NOT(ISBLANK(AE109)),"_","")</f>
        <v>_</v>
      </c>
      <c r="AE109" s="29" t="s">
        <v>17</v>
      </c>
      <c r="AF109" s="2" t="str">
        <f t="shared" ref="AF109:AF110" si="60">IF(NOT(ISBLANK(AG109)),"_","")</f>
        <v>_</v>
      </c>
      <c r="AG109" s="29" t="s">
        <v>24</v>
      </c>
    </row>
    <row r="110" spans="2:33" x14ac:dyDescent="0.25">
      <c r="B110" s="2" t="str">
        <f t="shared" ref="B110" si="61">_xlfn.CONCAT("@",AA110,AB110,AC110,AD110,AE110,AF110,AG110)</f>
        <v>@color-tertiary_case_unpaved_farzoom</v>
      </c>
      <c r="C110" s="129"/>
      <c r="D110" s="129"/>
      <c r="E110"/>
      <c r="F110" s="129"/>
      <c r="G110" s="129"/>
      <c r="H110"/>
      <c r="I110" s="121" t="s">
        <v>238</v>
      </c>
      <c r="J110" s="122" t="s">
        <v>242</v>
      </c>
      <c r="K110"/>
      <c r="L110"/>
      <c r="M110"/>
      <c r="N110"/>
      <c r="O110" s="129"/>
      <c r="P110" s="129"/>
      <c r="Q110"/>
      <c r="R110" s="129"/>
      <c r="S110" s="129"/>
      <c r="U110"/>
      <c r="V110"/>
      <c r="W110"/>
      <c r="X110"/>
      <c r="Y110"/>
      <c r="Z110"/>
      <c r="AA110" s="29" t="s">
        <v>6</v>
      </c>
      <c r="AB110" s="2" t="str">
        <f t="shared" si="58"/>
        <v>-</v>
      </c>
      <c r="AC110" s="2" t="s">
        <v>27</v>
      </c>
      <c r="AD110" s="2" t="str">
        <f t="shared" si="59"/>
        <v>_</v>
      </c>
      <c r="AE110" s="29" t="s">
        <v>17</v>
      </c>
      <c r="AF110" s="2" t="str">
        <f t="shared" si="60"/>
        <v>_</v>
      </c>
      <c r="AG110" s="29" t="s">
        <v>241</v>
      </c>
    </row>
    <row r="111" spans="2:33" x14ac:dyDescent="0.25">
      <c r="B111" s="2" t="str">
        <f t="shared" si="39"/>
        <v>@color-tertiary_case_unpaved</v>
      </c>
      <c r="C111" s="129"/>
      <c r="D111" s="129"/>
      <c r="E111"/>
      <c r="F111" s="129"/>
      <c r="G111" s="129"/>
      <c r="H111"/>
      <c r="I111" s="122" t="s">
        <v>242</v>
      </c>
      <c r="J111" s="122" t="s">
        <v>242</v>
      </c>
      <c r="K111"/>
      <c r="L111"/>
      <c r="M111"/>
      <c r="N111"/>
      <c r="O111" s="129"/>
      <c r="P111" s="129"/>
      <c r="Q111"/>
      <c r="R111" s="129"/>
      <c r="S111" s="129"/>
      <c r="U111"/>
      <c r="V111"/>
      <c r="W111"/>
      <c r="X111"/>
      <c r="Y111"/>
      <c r="Z111"/>
      <c r="AA111" s="29" t="s">
        <v>6</v>
      </c>
      <c r="AB111" s="2" t="str">
        <f t="shared" si="56"/>
        <v>-</v>
      </c>
      <c r="AC111" s="2" t="s">
        <v>27</v>
      </c>
      <c r="AD111" s="2" t="str">
        <f t="shared" si="57"/>
        <v>_</v>
      </c>
      <c r="AE111" s="29" t="s">
        <v>17</v>
      </c>
      <c r="AF111" s="2" t="str">
        <f t="shared" si="48"/>
        <v>_</v>
      </c>
      <c r="AG111" s="29" t="s">
        <v>22</v>
      </c>
    </row>
    <row r="112" spans="2:33" x14ac:dyDescent="0.25">
      <c r="B112" s="2" t="str">
        <f t="shared" ref="B112" si="62">_xlfn.CONCAT("@",AA112,AB112,AC112,AD112,AE112,AF112,AG112)</f>
        <v>@color-tertiary_case_paved_or_uk_farzoom</v>
      </c>
      <c r="C112" s="129"/>
      <c r="D112" s="129"/>
      <c r="E112"/>
      <c r="F112" s="129"/>
      <c r="G112" s="129"/>
      <c r="H112"/>
      <c r="I112" s="120" t="s">
        <v>239</v>
      </c>
      <c r="J112" s="82" t="s">
        <v>217</v>
      </c>
      <c r="K112"/>
      <c r="L112"/>
      <c r="M112"/>
      <c r="N112"/>
      <c r="O112" s="129"/>
      <c r="P112" s="129"/>
      <c r="Q112"/>
      <c r="R112" s="129"/>
      <c r="S112" s="129"/>
      <c r="U112"/>
      <c r="V112"/>
      <c r="W112"/>
      <c r="X112"/>
      <c r="Y112"/>
      <c r="Z112"/>
      <c r="AA112" s="2" t="s">
        <v>6</v>
      </c>
      <c r="AB112" s="2" t="str">
        <f t="shared" ref="AB112" si="63">IF(NOT(ISBLANK(AC112)),"-","")</f>
        <v>-</v>
      </c>
      <c r="AC112" s="2" t="s">
        <v>27</v>
      </c>
      <c r="AD112" s="2" t="str">
        <f t="shared" ref="AD112" si="64">IF(NOT(ISBLANK(AE112)),"_","")</f>
        <v>_</v>
      </c>
      <c r="AE112" s="2" t="s">
        <v>17</v>
      </c>
      <c r="AF112" s="2" t="str">
        <f t="shared" ref="AF112" si="65">IF(NOT(ISBLANK(AG112)),"_","")</f>
        <v>_</v>
      </c>
      <c r="AG112" s="2" t="s">
        <v>240</v>
      </c>
    </row>
    <row r="113" spans="1:33" x14ac:dyDescent="0.25">
      <c r="B113" s="2" t="str">
        <f t="shared" si="39"/>
        <v>@color-tertiary_case_paved_or_uk</v>
      </c>
      <c r="C113" s="129"/>
      <c r="D113" s="129"/>
      <c r="E113"/>
      <c r="F113" s="129"/>
      <c r="G113" s="129"/>
      <c r="H113"/>
      <c r="I113" s="123" t="s">
        <v>243</v>
      </c>
      <c r="J113" s="82" t="s">
        <v>217</v>
      </c>
      <c r="K113"/>
      <c r="L113"/>
      <c r="M113"/>
      <c r="N113"/>
      <c r="O113" s="129"/>
      <c r="P113" s="129"/>
      <c r="Q113"/>
      <c r="R113" s="129"/>
      <c r="S113" s="129"/>
      <c r="U113"/>
      <c r="V113"/>
      <c r="W113"/>
      <c r="X113"/>
      <c r="Y113"/>
      <c r="Z113"/>
      <c r="AA113" s="2" t="s">
        <v>6</v>
      </c>
      <c r="AB113" s="2" t="str">
        <f t="shared" si="56"/>
        <v>-</v>
      </c>
      <c r="AC113" s="2" t="s">
        <v>27</v>
      </c>
      <c r="AD113" s="2" t="str">
        <f t="shared" si="57"/>
        <v>_</v>
      </c>
      <c r="AE113" s="2" t="s">
        <v>17</v>
      </c>
      <c r="AF113" s="2" t="str">
        <f t="shared" si="48"/>
        <v>_</v>
      </c>
      <c r="AG113" s="2" t="s">
        <v>25</v>
      </c>
    </row>
    <row r="114" spans="1:33" x14ac:dyDescent="0.25">
      <c r="B114" s="2" t="str">
        <f t="shared" ref="B114" si="66">_xlfn.CONCAT("@",AA114,AB114,AC114,AD114,AE114,AF114,AG114)</f>
        <v>@color-tertiary_line_bicycle_no</v>
      </c>
      <c r="C114" s="127" t="s">
        <v>245</v>
      </c>
      <c r="D114" s="85" t="s">
        <v>218</v>
      </c>
      <c r="E114"/>
      <c r="F114"/>
      <c r="G114"/>
      <c r="H114"/>
      <c r="I114" s="126" t="str">
        <f>C114</f>
        <v>"#ffcc8a"</v>
      </c>
      <c r="J114" s="39" t="str">
        <f>D114</f>
        <v>"#d6771e"</v>
      </c>
      <c r="K114"/>
      <c r="L114"/>
      <c r="M114"/>
      <c r="N114"/>
      <c r="O114" s="126" t="str">
        <f>C114</f>
        <v>"#ffcc8a"</v>
      </c>
      <c r="P114" s="39" t="str">
        <f>J114</f>
        <v>"#d6771e"</v>
      </c>
      <c r="Q114"/>
      <c r="R114"/>
      <c r="S114"/>
      <c r="U114"/>
      <c r="V114"/>
      <c r="W114"/>
      <c r="X114"/>
      <c r="Y114"/>
      <c r="Z114"/>
      <c r="AA114" s="29" t="s">
        <v>6</v>
      </c>
      <c r="AB114" s="2" t="str">
        <f t="shared" si="56"/>
        <v>-</v>
      </c>
      <c r="AC114" s="2" t="s">
        <v>27</v>
      </c>
      <c r="AD114" s="2" t="str">
        <f t="shared" si="57"/>
        <v>_</v>
      </c>
      <c r="AE114" s="29" t="s">
        <v>13</v>
      </c>
      <c r="AF114" s="2" t="str">
        <f t="shared" si="48"/>
        <v>_</v>
      </c>
      <c r="AG114" s="29" t="s">
        <v>24</v>
      </c>
    </row>
    <row r="115" spans="1:33" x14ac:dyDescent="0.25">
      <c r="B115" s="2" t="str">
        <f t="shared" si="39"/>
        <v>@color-tertiary_line</v>
      </c>
      <c r="C115" s="125" t="s">
        <v>244</v>
      </c>
      <c r="D115" s="92" t="s">
        <v>230</v>
      </c>
      <c r="E115"/>
      <c r="F115"/>
      <c r="G115"/>
      <c r="H115"/>
      <c r="I115" s="129"/>
      <c r="J115" s="129"/>
      <c r="K115"/>
      <c r="L115" s="129"/>
      <c r="M115" s="129"/>
      <c r="N115"/>
      <c r="O115" s="128" t="s">
        <v>230</v>
      </c>
      <c r="P115" s="128" t="str">
        <f>D115</f>
        <v>"#ffe16b"</v>
      </c>
      <c r="Q115"/>
      <c r="R115"/>
      <c r="S115"/>
      <c r="U115"/>
      <c r="V115"/>
      <c r="W115"/>
      <c r="X115"/>
      <c r="Y115"/>
      <c r="Z115"/>
      <c r="AA115" s="29" t="s">
        <v>6</v>
      </c>
      <c r="AB115" s="29" t="str">
        <f t="shared" si="56"/>
        <v>-</v>
      </c>
      <c r="AC115" s="2" t="s">
        <v>27</v>
      </c>
      <c r="AD115" s="29" t="str">
        <f t="shared" si="57"/>
        <v>_</v>
      </c>
      <c r="AE115" s="29" t="s">
        <v>13</v>
      </c>
      <c r="AF115" s="2" t="str">
        <f t="shared" si="48"/>
        <v/>
      </c>
    </row>
    <row r="116" spans="1:33" x14ac:dyDescent="0.25">
      <c r="B116" s="2" t="str">
        <f t="shared" si="39"/>
        <v>@color-tertiary_line_unpaved</v>
      </c>
      <c r="C116" s="129"/>
      <c r="D116" s="129"/>
      <c r="E116"/>
      <c r="F116" s="129"/>
      <c r="G116" s="129"/>
      <c r="H116"/>
      <c r="I116" s="97" t="s">
        <v>228</v>
      </c>
      <c r="J116" s="88" t="str">
        <f>I116</f>
        <v>"#eddfca"</v>
      </c>
      <c r="K116"/>
      <c r="L116"/>
      <c r="M116"/>
      <c r="N116"/>
      <c r="O116" s="129"/>
      <c r="P116" s="129"/>
      <c r="Q116"/>
      <c r="R116" s="129"/>
      <c r="S116" s="129"/>
      <c r="U116"/>
      <c r="V116"/>
      <c r="W116"/>
      <c r="X116"/>
      <c r="Y116"/>
      <c r="Z116"/>
      <c r="AA116" s="2" t="s">
        <v>6</v>
      </c>
      <c r="AB116" s="2" t="str">
        <f t="shared" si="56"/>
        <v>-</v>
      </c>
      <c r="AC116" s="2" t="s">
        <v>27</v>
      </c>
      <c r="AD116" s="2" t="str">
        <f t="shared" si="57"/>
        <v>_</v>
      </c>
      <c r="AE116" s="2" t="s">
        <v>13</v>
      </c>
      <c r="AF116" s="2" t="str">
        <f t="shared" si="48"/>
        <v>_</v>
      </c>
      <c r="AG116" s="2" t="s">
        <v>22</v>
      </c>
    </row>
    <row r="117" spans="1:33" x14ac:dyDescent="0.25">
      <c r="B117" s="2" t="str">
        <f t="shared" si="39"/>
        <v>@color-tertiary_line_paved_or_uk</v>
      </c>
      <c r="C117" s="129"/>
      <c r="D117" s="129"/>
      <c r="E117"/>
      <c r="F117" s="129"/>
      <c r="G117" s="129"/>
      <c r="H117"/>
      <c r="I117" s="98" t="s">
        <v>229</v>
      </c>
      <c r="J117" s="89" t="str">
        <f>I117</f>
        <v>"#ffffff"</v>
      </c>
      <c r="K117"/>
      <c r="L117"/>
      <c r="M117"/>
      <c r="N117"/>
      <c r="O117" s="129"/>
      <c r="P117" s="129"/>
      <c r="Q117"/>
      <c r="R117" s="129"/>
      <c r="S117" s="129"/>
      <c r="U117"/>
      <c r="V117"/>
      <c r="W117"/>
      <c r="X117"/>
      <c r="Y117"/>
      <c r="Z117"/>
      <c r="AA117" s="2" t="s">
        <v>6</v>
      </c>
      <c r="AB117" s="2" t="str">
        <f t="shared" si="56"/>
        <v>-</v>
      </c>
      <c r="AC117" s="2" t="s">
        <v>27</v>
      </c>
      <c r="AD117" s="2" t="str">
        <f t="shared" si="57"/>
        <v>_</v>
      </c>
      <c r="AE117" s="2" t="s">
        <v>13</v>
      </c>
      <c r="AF117" s="2" t="str">
        <f t="shared" si="48"/>
        <v>_</v>
      </c>
      <c r="AG117" s="2" t="s">
        <v>25</v>
      </c>
    </row>
    <row r="118" spans="1:33" x14ac:dyDescent="0.25">
      <c r="B118" s="2"/>
      <c r="C118"/>
      <c r="D118"/>
      <c r="E118"/>
      <c r="F118"/>
      <c r="G118"/>
      <c r="H118"/>
      <c r="I118" s="90"/>
      <c r="J118"/>
      <c r="K118"/>
      <c r="L118"/>
      <c r="M118"/>
      <c r="N118"/>
      <c r="O118"/>
      <c r="P118"/>
      <c r="Q118"/>
      <c r="R118"/>
      <c r="S118"/>
      <c r="U118"/>
      <c r="V118"/>
      <c r="W118"/>
      <c r="X118"/>
      <c r="Y118"/>
      <c r="Z118"/>
      <c r="AB118" s="2"/>
      <c r="AD118" s="2"/>
      <c r="AF118" s="2"/>
    </row>
    <row r="119" spans="1:33" x14ac:dyDescent="0.25">
      <c r="B119" s="2"/>
      <c r="C119"/>
      <c r="D119"/>
      <c r="E119"/>
      <c r="F119"/>
      <c r="G119"/>
      <c r="H119"/>
      <c r="I119" s="90"/>
      <c r="J119"/>
      <c r="K119"/>
      <c r="L119"/>
      <c r="M119"/>
      <c r="N119"/>
      <c r="O119"/>
      <c r="P119"/>
      <c r="Q119"/>
      <c r="R119"/>
      <c r="S119"/>
      <c r="U119"/>
      <c r="V119"/>
      <c r="W119"/>
      <c r="X119"/>
      <c r="Y119"/>
      <c r="Z119"/>
      <c r="AB119" s="2" t="str">
        <f t="shared" si="44"/>
        <v/>
      </c>
      <c r="AD119" s="2" t="str">
        <f t="shared" si="47"/>
        <v/>
      </c>
      <c r="AF119" s="2" t="str">
        <f t="shared" si="48"/>
        <v/>
      </c>
    </row>
    <row r="120" spans="1:33" x14ac:dyDescent="0.25">
      <c r="B120" s="2"/>
      <c r="C120"/>
      <c r="D120"/>
      <c r="E120"/>
      <c r="F120"/>
      <c r="G120"/>
      <c r="H120"/>
      <c r="J120"/>
      <c r="K120"/>
      <c r="L120"/>
      <c r="M120"/>
      <c r="N120"/>
      <c r="O120"/>
      <c r="P120"/>
      <c r="Q120"/>
      <c r="R120"/>
      <c r="S120"/>
      <c r="U120"/>
      <c r="V120"/>
      <c r="W120"/>
      <c r="X120"/>
      <c r="Y120"/>
      <c r="Z120"/>
      <c r="AB120" s="29" t="str">
        <f t="shared" si="44"/>
        <v/>
      </c>
      <c r="AD120" s="29" t="str">
        <f t="shared" si="47"/>
        <v/>
      </c>
      <c r="AF120" s="29" t="str">
        <f t="shared" si="48"/>
        <v/>
      </c>
    </row>
    <row r="121" spans="1:33" s="2" customFormat="1" x14ac:dyDescent="0.25">
      <c r="A121" s="4" t="s">
        <v>231</v>
      </c>
      <c r="B121" s="4"/>
      <c r="C121" s="4"/>
      <c r="D121" s="5"/>
      <c r="F121" s="5"/>
      <c r="G121" s="5"/>
      <c r="I121" s="5"/>
      <c r="J121" s="5"/>
      <c r="L121" s="5"/>
      <c r="M121" s="5"/>
      <c r="O121" s="5"/>
      <c r="P121" s="5"/>
      <c r="R121" s="5"/>
      <c r="S121" s="5"/>
      <c r="U121" s="5"/>
      <c r="V121" s="5"/>
      <c r="X121" s="5"/>
      <c r="Y121" s="5"/>
      <c r="AA121" s="5"/>
      <c r="AB121" s="5" t="str">
        <f t="shared" si="44"/>
        <v/>
      </c>
      <c r="AC121" s="5"/>
      <c r="AD121" s="5" t="str">
        <f t="shared" si="47"/>
        <v/>
      </c>
      <c r="AE121" s="5"/>
      <c r="AF121" s="5" t="str">
        <f t="shared" si="48"/>
        <v/>
      </c>
      <c r="AG121" s="5"/>
    </row>
    <row r="122" spans="1:33" x14ac:dyDescent="0.25">
      <c r="B122" s="2" t="str">
        <f t="shared" ref="B122" si="67">_xlfn.CONCAT("@",AA122,AB122,AC122,AD122,AE122,AF122,AG122)</f>
        <v>@color-raceway_case</v>
      </c>
      <c r="C122" s="129"/>
      <c r="D122" s="129"/>
      <c r="E122"/>
      <c r="F122" s="129"/>
      <c r="G122" s="129"/>
      <c r="H122"/>
      <c r="I122" s="129"/>
      <c r="J122" s="129"/>
      <c r="K122"/>
      <c r="L122" s="129"/>
      <c r="M122" s="129"/>
      <c r="N122"/>
      <c r="O122" s="82" t="s">
        <v>217</v>
      </c>
      <c r="P122" s="82" t="s">
        <v>217</v>
      </c>
      <c r="Q122"/>
      <c r="R122"/>
      <c r="S122"/>
      <c r="U122"/>
      <c r="V122"/>
      <c r="W122"/>
      <c r="X122"/>
      <c r="Y122"/>
      <c r="Z122"/>
      <c r="AA122" s="2" t="s">
        <v>6</v>
      </c>
      <c r="AB122" s="2" t="str">
        <f t="shared" ref="AB122" si="68">IF(NOT(ISBLANK(AC122)),"-","")</f>
        <v>-</v>
      </c>
      <c r="AC122" s="2" t="s">
        <v>29</v>
      </c>
      <c r="AD122" s="2" t="str">
        <f t="shared" ref="AD122" si="69">IF(NOT(ISBLANK(AE122)),"_","")</f>
        <v>_</v>
      </c>
      <c r="AE122" s="2" t="s">
        <v>17</v>
      </c>
      <c r="AF122" s="2" t="str">
        <f t="shared" ref="AF122" si="70">IF(NOT(ISBLANK(AG122)),"_","")</f>
        <v/>
      </c>
      <c r="AG122" s="2"/>
    </row>
    <row r="123" spans="1:33" x14ac:dyDescent="0.25">
      <c r="B123" s="2" t="str">
        <f t="shared" ref="B123:B125" si="71">_xlfn.CONCAT("@",AA123,AB123,AC123,AD123,AE123,AF123,AG123)</f>
        <v>@color-raceway_case_unpaved</v>
      </c>
      <c r="C123" s="130" t="s">
        <v>246</v>
      </c>
      <c r="D123" s="122" t="s">
        <v>242</v>
      </c>
      <c r="E123"/>
      <c r="F123" s="82" t="s">
        <v>217</v>
      </c>
      <c r="G123"/>
      <c r="H123"/>
      <c r="I123" s="131" t="str">
        <f>C123</f>
        <v>"#af9564"</v>
      </c>
      <c r="J123" s="134" t="str">
        <f>D123</f>
        <v>"#644507"</v>
      </c>
      <c r="K123"/>
      <c r="L123"/>
      <c r="M123"/>
      <c r="N123"/>
      <c r="O123" s="129"/>
      <c r="P123" s="129"/>
      <c r="Q123"/>
      <c r="R123" s="129"/>
      <c r="S123" s="129"/>
      <c r="U123"/>
      <c r="V123"/>
      <c r="W123"/>
      <c r="X123"/>
      <c r="Y123"/>
      <c r="Z123"/>
      <c r="AA123" s="2" t="s">
        <v>6</v>
      </c>
      <c r="AB123" s="2" t="str">
        <f t="shared" ref="AB123:AB125" si="72">IF(NOT(ISBLANK(AC123)),"-","")</f>
        <v>-</v>
      </c>
      <c r="AC123" s="2" t="s">
        <v>29</v>
      </c>
      <c r="AD123" s="2" t="str">
        <f t="shared" ref="AD123:AD125" si="73">IF(NOT(ISBLANK(AE123)),"_","")</f>
        <v>_</v>
      </c>
      <c r="AE123" s="2" t="s">
        <v>17</v>
      </c>
      <c r="AF123" s="2" t="str">
        <f t="shared" ref="AF123:AF125" si="74">IF(NOT(ISBLANK(AG123)),"_","")</f>
        <v>_</v>
      </c>
      <c r="AG123" s="2" t="s">
        <v>22</v>
      </c>
    </row>
    <row r="124" spans="1:33" x14ac:dyDescent="0.25">
      <c r="B124" s="2" t="str">
        <f t="shared" si="71"/>
        <v>@color-raceway_case_paved_or_uk</v>
      </c>
      <c r="C124" s="132" t="s">
        <v>247</v>
      </c>
      <c r="D124" s="135" t="s">
        <v>248</v>
      </c>
      <c r="E124"/>
      <c r="F124" s="82" t="s">
        <v>217</v>
      </c>
      <c r="G124"/>
      <c r="H124"/>
      <c r="I124" s="133" t="str">
        <f>C124</f>
        <v>"#a8a6a4"</v>
      </c>
      <c r="J124" s="136" t="str">
        <f>D124</f>
        <v>"#4a4a4a"</v>
      </c>
      <c r="K124"/>
      <c r="L124"/>
      <c r="M124"/>
      <c r="N124"/>
      <c r="O124" s="129"/>
      <c r="P124" s="129"/>
      <c r="Q124"/>
      <c r="R124" s="129"/>
      <c r="S124" s="129"/>
      <c r="U124"/>
      <c r="V124"/>
      <c r="W124"/>
      <c r="X124"/>
      <c r="Y124"/>
      <c r="Z124"/>
      <c r="AA124" s="2" t="s">
        <v>6</v>
      </c>
      <c r="AB124" s="2" t="str">
        <f t="shared" si="72"/>
        <v>-</v>
      </c>
      <c r="AC124" s="2" t="s">
        <v>29</v>
      </c>
      <c r="AD124" s="2" t="str">
        <f t="shared" si="73"/>
        <v>_</v>
      </c>
      <c r="AE124" s="2" t="s">
        <v>17</v>
      </c>
      <c r="AF124" s="2" t="str">
        <f t="shared" si="74"/>
        <v>_</v>
      </c>
      <c r="AG124" s="2" t="s">
        <v>25</v>
      </c>
    </row>
    <row r="125" spans="1:33" x14ac:dyDescent="0.25">
      <c r="B125" s="2" t="str">
        <f t="shared" si="71"/>
        <v>@color-raceway_line</v>
      </c>
      <c r="C125" s="129"/>
      <c r="D125" s="129"/>
      <c r="E125"/>
      <c r="F125" s="129"/>
      <c r="G125" s="129"/>
      <c r="H125"/>
      <c r="I125" s="129"/>
      <c r="J125" s="129"/>
      <c r="K125"/>
      <c r="L125" s="129"/>
      <c r="M125" s="129"/>
      <c r="N125"/>
      <c r="O125" s="98" t="s">
        <v>229</v>
      </c>
      <c r="P125" s="89" t="str">
        <f>O125</f>
        <v>"#ffffff"</v>
      </c>
      <c r="Q125"/>
      <c r="R125"/>
      <c r="S125"/>
      <c r="U125"/>
      <c r="V125"/>
      <c r="W125"/>
      <c r="X125"/>
      <c r="Y125"/>
      <c r="Z125"/>
      <c r="AA125" s="2" t="s">
        <v>6</v>
      </c>
      <c r="AB125" s="2" t="str">
        <f t="shared" si="72"/>
        <v>-</v>
      </c>
      <c r="AC125" s="2" t="s">
        <v>29</v>
      </c>
      <c r="AD125" s="2" t="str">
        <f t="shared" si="73"/>
        <v>_</v>
      </c>
      <c r="AE125" s="2" t="s">
        <v>13</v>
      </c>
      <c r="AF125" s="2" t="str">
        <f t="shared" si="74"/>
        <v/>
      </c>
      <c r="AG125" s="2"/>
    </row>
    <row r="126" spans="1:33" x14ac:dyDescent="0.25">
      <c r="B126" s="2" t="str">
        <f t="shared" si="39"/>
        <v>@color-raceway_line_unpaved</v>
      </c>
      <c r="C126" s="97" t="s">
        <v>228</v>
      </c>
      <c r="D126" s="88" t="str">
        <f>C126</f>
        <v>"#eddfca"</v>
      </c>
      <c r="E126"/>
      <c r="F126"/>
      <c r="G126"/>
      <c r="H126"/>
      <c r="I126" s="88" t="str">
        <f>C126</f>
        <v>"#eddfca"</v>
      </c>
      <c r="J126" s="88" t="str">
        <f>C126</f>
        <v>"#eddfca"</v>
      </c>
      <c r="K126"/>
      <c r="L126"/>
      <c r="M126"/>
      <c r="N126"/>
      <c r="O126" s="129"/>
      <c r="P126" s="129"/>
      <c r="Q126"/>
      <c r="R126" s="129"/>
      <c r="S126" s="129"/>
      <c r="U126"/>
      <c r="V126"/>
      <c r="W126"/>
      <c r="X126"/>
      <c r="Y126"/>
      <c r="Z126"/>
      <c r="AA126" s="2" t="s">
        <v>6</v>
      </c>
      <c r="AB126" s="2" t="str">
        <f t="shared" si="44"/>
        <v>-</v>
      </c>
      <c r="AC126" s="2" t="s">
        <v>29</v>
      </c>
      <c r="AD126" s="2" t="str">
        <f t="shared" si="47"/>
        <v>_</v>
      </c>
      <c r="AE126" s="2" t="s">
        <v>13</v>
      </c>
      <c r="AF126" s="2" t="str">
        <f t="shared" si="48"/>
        <v>_</v>
      </c>
      <c r="AG126" s="2" t="s">
        <v>22</v>
      </c>
    </row>
    <row r="127" spans="1:33" x14ac:dyDescent="0.25">
      <c r="B127" s="2" t="str">
        <f t="shared" si="39"/>
        <v>@color-raceway_line_paved_or_uk</v>
      </c>
      <c r="C127" s="90" t="s">
        <v>229</v>
      </c>
      <c r="D127" s="89" t="str">
        <f>C127</f>
        <v>"#ffffff"</v>
      </c>
      <c r="E127"/>
      <c r="F127"/>
      <c r="G127"/>
      <c r="H127"/>
      <c r="I127" s="89" t="str">
        <f>C127</f>
        <v>"#ffffff"</v>
      </c>
      <c r="J127" s="89" t="str">
        <f>C127</f>
        <v>"#ffffff"</v>
      </c>
      <c r="K127"/>
      <c r="L127"/>
      <c r="M127"/>
      <c r="N127"/>
      <c r="O127" s="129"/>
      <c r="P127" s="129"/>
      <c r="Q127"/>
      <c r="R127" s="129"/>
      <c r="S127" s="129"/>
      <c r="U127"/>
      <c r="V127"/>
      <c r="W127"/>
      <c r="X127"/>
      <c r="Y127"/>
      <c r="Z127"/>
      <c r="AA127" s="2" t="s">
        <v>6</v>
      </c>
      <c r="AB127" s="2" t="str">
        <f t="shared" si="44"/>
        <v>-</v>
      </c>
      <c r="AC127" s="2" t="s">
        <v>29</v>
      </c>
      <c r="AD127" s="2" t="str">
        <f t="shared" si="47"/>
        <v>_</v>
      </c>
      <c r="AE127" s="2" t="s">
        <v>13</v>
      </c>
      <c r="AF127" s="2" t="str">
        <f t="shared" si="48"/>
        <v>_</v>
      </c>
      <c r="AG127" s="2" t="s">
        <v>25</v>
      </c>
    </row>
    <row r="128" spans="1:33" x14ac:dyDescent="0.25">
      <c r="B128" s="2"/>
      <c r="C128"/>
      <c r="D128"/>
      <c r="E128"/>
      <c r="F128"/>
      <c r="G128"/>
      <c r="H128"/>
      <c r="J128"/>
      <c r="K128"/>
      <c r="L128"/>
      <c r="M128"/>
      <c r="N128"/>
      <c r="O128"/>
      <c r="P128"/>
      <c r="Q128"/>
      <c r="R128"/>
      <c r="S128"/>
      <c r="U128"/>
      <c r="V128"/>
      <c r="W128"/>
      <c r="X128"/>
      <c r="Y128"/>
      <c r="Z128"/>
      <c r="AB128" s="29" t="str">
        <f t="shared" si="44"/>
        <v/>
      </c>
      <c r="AD128" s="29" t="str">
        <f t="shared" si="47"/>
        <v/>
      </c>
      <c r="AF128" s="29" t="str">
        <f t="shared" si="48"/>
        <v/>
      </c>
    </row>
    <row r="129" spans="2:33" x14ac:dyDescent="0.25">
      <c r="B129" s="2" t="str">
        <f t="shared" ref="B129:B136" si="75">_xlfn.CONCAT("@",AA129,AB129,AC129,AD129,AE129,AF129,AG129)</f>
        <v>@color-driveway_case</v>
      </c>
      <c r="C129" s="129"/>
      <c r="D129" s="129"/>
      <c r="E129"/>
      <c r="F129" s="129"/>
      <c r="G129" s="129"/>
      <c r="H129"/>
      <c r="I129" s="129"/>
      <c r="J129" s="129"/>
      <c r="K129"/>
      <c r="L129" s="129"/>
      <c r="M129" s="129"/>
      <c r="N129"/>
      <c r="O129" s="82" t="s">
        <v>217</v>
      </c>
      <c r="P129" s="82" t="s">
        <v>217</v>
      </c>
      <c r="Q129"/>
      <c r="R129"/>
      <c r="S129"/>
      <c r="U129"/>
      <c r="V129"/>
      <c r="W129"/>
      <c r="X129"/>
      <c r="Y129"/>
      <c r="Z129"/>
      <c r="AA129" s="2" t="s">
        <v>6</v>
      </c>
      <c r="AB129" s="2" t="str">
        <f t="shared" si="44"/>
        <v>-</v>
      </c>
      <c r="AC129" s="2" t="s">
        <v>30</v>
      </c>
      <c r="AD129" s="2" t="str">
        <f t="shared" si="47"/>
        <v>_</v>
      </c>
      <c r="AE129" s="2" t="s">
        <v>17</v>
      </c>
      <c r="AF129" s="2" t="str">
        <f t="shared" si="48"/>
        <v/>
      </c>
      <c r="AG129" s="2"/>
    </row>
    <row r="130" spans="2:33" x14ac:dyDescent="0.25">
      <c r="B130" s="2" t="str">
        <f t="shared" si="75"/>
        <v>@color-driveway_case_unpaved_farzoom</v>
      </c>
      <c r="C130" s="121" t="s">
        <v>238</v>
      </c>
      <c r="D130" s="122" t="s">
        <v>242</v>
      </c>
      <c r="E130"/>
      <c r="F130" s="82" t="s">
        <v>217</v>
      </c>
      <c r="G130"/>
      <c r="H130"/>
      <c r="I130" s="137" t="str">
        <f t="shared" ref="I130:J133" si="76">C130</f>
        <v>"#b99346"</v>
      </c>
      <c r="J130" s="134" t="str">
        <f t="shared" si="76"/>
        <v>"#644507"</v>
      </c>
      <c r="K130"/>
      <c r="L130"/>
      <c r="M130"/>
      <c r="N130"/>
      <c r="O130" s="129"/>
      <c r="P130" s="129"/>
      <c r="Q130"/>
      <c r="R130" s="129"/>
      <c r="S130" s="129"/>
      <c r="U130"/>
      <c r="V130"/>
      <c r="W130"/>
      <c r="X130"/>
      <c r="Y130"/>
      <c r="Z130"/>
      <c r="AA130" s="2" t="s">
        <v>6</v>
      </c>
      <c r="AB130" s="2" t="str">
        <f t="shared" si="44"/>
        <v>-</v>
      </c>
      <c r="AC130" s="2" t="s">
        <v>30</v>
      </c>
      <c r="AD130" s="2" t="str">
        <f t="shared" si="47"/>
        <v>_</v>
      </c>
      <c r="AE130" s="2" t="s">
        <v>17</v>
      </c>
      <c r="AF130" s="2" t="str">
        <f t="shared" si="48"/>
        <v>_</v>
      </c>
      <c r="AG130" s="2" t="s">
        <v>241</v>
      </c>
    </row>
    <row r="131" spans="2:33" x14ac:dyDescent="0.25">
      <c r="B131" s="2" t="str">
        <f t="shared" si="75"/>
        <v>@color-driveway_case_unpaved</v>
      </c>
      <c r="C131" s="122" t="s">
        <v>242</v>
      </c>
      <c r="D131" s="122" t="s">
        <v>242</v>
      </c>
      <c r="E131"/>
      <c r="F131" s="82" t="s">
        <v>217</v>
      </c>
      <c r="G131"/>
      <c r="H131"/>
      <c r="I131" s="134" t="str">
        <f t="shared" si="76"/>
        <v>"#644507"</v>
      </c>
      <c r="J131" s="134" t="str">
        <f t="shared" si="76"/>
        <v>"#644507"</v>
      </c>
      <c r="K131"/>
      <c r="L131"/>
      <c r="M131"/>
      <c r="N131"/>
      <c r="O131" s="129"/>
      <c r="P131" s="129"/>
      <c r="Q131"/>
      <c r="R131" s="129"/>
      <c r="S131" s="129"/>
      <c r="U131"/>
      <c r="V131"/>
      <c r="W131"/>
      <c r="X131"/>
      <c r="Y131"/>
      <c r="Z131"/>
      <c r="AA131" s="2" t="s">
        <v>6</v>
      </c>
      <c r="AB131" s="2" t="str">
        <f t="shared" si="44"/>
        <v>-</v>
      </c>
      <c r="AC131" s="2" t="s">
        <v>30</v>
      </c>
      <c r="AD131" s="2" t="str">
        <f t="shared" si="47"/>
        <v>_</v>
      </c>
      <c r="AE131" s="2" t="s">
        <v>17</v>
      </c>
      <c r="AF131" s="2" t="str">
        <f t="shared" si="48"/>
        <v>_</v>
      </c>
      <c r="AG131" s="2" t="s">
        <v>22</v>
      </c>
    </row>
    <row r="132" spans="2:33" x14ac:dyDescent="0.25">
      <c r="B132" s="2" t="str">
        <f t="shared" si="75"/>
        <v>@color-driveway_case_paved_or_uk_farzoom</v>
      </c>
      <c r="C132" s="120" t="s">
        <v>239</v>
      </c>
      <c r="D132" s="82" t="s">
        <v>217</v>
      </c>
      <c r="E132"/>
      <c r="F132" s="82" t="s">
        <v>217</v>
      </c>
      <c r="G132"/>
      <c r="H132"/>
      <c r="I132" s="138" t="str">
        <f t="shared" si="76"/>
        <v>"#808080"</v>
      </c>
      <c r="J132" s="115" t="str">
        <f t="shared" si="76"/>
        <v>"#000000"</v>
      </c>
      <c r="K132"/>
      <c r="L132"/>
      <c r="M132"/>
      <c r="N132"/>
      <c r="O132" s="129"/>
      <c r="P132" s="129"/>
      <c r="Q132"/>
      <c r="R132" s="129"/>
      <c r="S132" s="129"/>
      <c r="U132"/>
      <c r="V132"/>
      <c r="W132"/>
      <c r="X132"/>
      <c r="Y132"/>
      <c r="Z132"/>
      <c r="AA132" s="2" t="s">
        <v>6</v>
      </c>
      <c r="AB132" s="2" t="str">
        <f t="shared" si="44"/>
        <v>-</v>
      </c>
      <c r="AC132" s="2" t="s">
        <v>30</v>
      </c>
      <c r="AD132" s="2" t="str">
        <f t="shared" si="47"/>
        <v>_</v>
      </c>
      <c r="AE132" s="2" t="s">
        <v>17</v>
      </c>
      <c r="AF132" s="2" t="str">
        <f t="shared" si="48"/>
        <v>_</v>
      </c>
      <c r="AG132" s="2" t="s">
        <v>240</v>
      </c>
    </row>
    <row r="133" spans="2:33" x14ac:dyDescent="0.25">
      <c r="B133" s="2" t="str">
        <f t="shared" si="75"/>
        <v>@color-driveway_case_paved_or_uk</v>
      </c>
      <c r="C133" s="96" t="s">
        <v>223</v>
      </c>
      <c r="D133" s="82" t="s">
        <v>217</v>
      </c>
      <c r="E133"/>
      <c r="F133" s="82" t="s">
        <v>217</v>
      </c>
      <c r="G133"/>
      <c r="H133"/>
      <c r="I133" s="139" t="str">
        <f t="shared" si="76"/>
        <v>"#404040"</v>
      </c>
      <c r="J133" s="115" t="str">
        <f t="shared" si="76"/>
        <v>"#000000"</v>
      </c>
      <c r="K133"/>
      <c r="L133"/>
      <c r="M133"/>
      <c r="N133"/>
      <c r="O133" s="129"/>
      <c r="P133" s="129"/>
      <c r="Q133"/>
      <c r="R133" s="129"/>
      <c r="S133" s="129"/>
      <c r="U133"/>
      <c r="V133"/>
      <c r="W133" s="2"/>
      <c r="X133"/>
      <c r="Y133"/>
      <c r="Z133"/>
      <c r="AA133" s="2" t="s">
        <v>6</v>
      </c>
      <c r="AB133" s="2" t="str">
        <f t="shared" si="44"/>
        <v>-</v>
      </c>
      <c r="AC133" s="2" t="s">
        <v>30</v>
      </c>
      <c r="AD133" s="2" t="str">
        <f t="shared" si="47"/>
        <v>_</v>
      </c>
      <c r="AE133" s="2" t="s">
        <v>17</v>
      </c>
      <c r="AF133" s="2" t="str">
        <f t="shared" si="48"/>
        <v>_</v>
      </c>
      <c r="AG133" s="2" t="s">
        <v>25</v>
      </c>
    </row>
    <row r="134" spans="2:33" x14ac:dyDescent="0.25">
      <c r="B134" s="2" t="str">
        <f t="shared" si="75"/>
        <v>@color-driveway_line</v>
      </c>
      <c r="C134" s="129"/>
      <c r="D134" s="129"/>
      <c r="E134"/>
      <c r="F134" s="129"/>
      <c r="G134" s="129"/>
      <c r="H134"/>
      <c r="I134" s="129"/>
      <c r="J134" s="129"/>
      <c r="K134"/>
      <c r="L134" s="129"/>
      <c r="M134" s="129"/>
      <c r="N134"/>
      <c r="O134" s="98" t="s">
        <v>229</v>
      </c>
      <c r="P134" s="89" t="str">
        <f>O134</f>
        <v>"#ffffff"</v>
      </c>
      <c r="Q134"/>
      <c r="R134"/>
      <c r="S134"/>
      <c r="U134"/>
      <c r="V134"/>
      <c r="W134"/>
      <c r="X134"/>
      <c r="Y134"/>
      <c r="Z134"/>
      <c r="AA134" s="2" t="s">
        <v>6</v>
      </c>
      <c r="AB134" s="2" t="str">
        <f t="shared" si="44"/>
        <v>-</v>
      </c>
      <c r="AC134" s="2" t="s">
        <v>30</v>
      </c>
      <c r="AD134" s="2" t="str">
        <f t="shared" si="47"/>
        <v>_</v>
      </c>
      <c r="AE134" s="2" t="s">
        <v>13</v>
      </c>
      <c r="AF134" s="2" t="str">
        <f t="shared" si="48"/>
        <v/>
      </c>
      <c r="AG134" s="2"/>
    </row>
    <row r="135" spans="2:33" x14ac:dyDescent="0.25">
      <c r="B135" s="2" t="str">
        <f t="shared" si="75"/>
        <v>@color-driveway_line_unpaved</v>
      </c>
      <c r="C135" s="97" t="s">
        <v>228</v>
      </c>
      <c r="D135" s="89" t="str">
        <f t="shared" ref="D135:D136" si="77">C135</f>
        <v>"#eddfca"</v>
      </c>
      <c r="E135"/>
      <c r="F135"/>
      <c r="G135"/>
      <c r="H135"/>
      <c r="I135" s="88" t="str">
        <f>C135</f>
        <v>"#eddfca"</v>
      </c>
      <c r="J135" s="89" t="str">
        <f t="shared" ref="J135:J136" si="78">C135</f>
        <v>"#eddfca"</v>
      </c>
      <c r="K135"/>
      <c r="L135"/>
      <c r="M135"/>
      <c r="N135"/>
      <c r="O135" s="129"/>
      <c r="P135" s="129"/>
      <c r="Q135"/>
      <c r="R135" s="129"/>
      <c r="S135" s="129"/>
      <c r="U135"/>
      <c r="V135"/>
      <c r="W135"/>
      <c r="X135"/>
      <c r="Y135"/>
      <c r="Z135"/>
      <c r="AA135" s="2" t="s">
        <v>6</v>
      </c>
      <c r="AB135" s="2" t="str">
        <f t="shared" si="44"/>
        <v>-</v>
      </c>
      <c r="AC135" s="2" t="s">
        <v>30</v>
      </c>
      <c r="AD135" s="2" t="str">
        <f t="shared" si="47"/>
        <v>_</v>
      </c>
      <c r="AE135" s="2" t="s">
        <v>13</v>
      </c>
      <c r="AF135" s="2" t="str">
        <f t="shared" si="48"/>
        <v>_</v>
      </c>
      <c r="AG135" s="2" t="s">
        <v>22</v>
      </c>
    </row>
    <row r="136" spans="2:33" x14ac:dyDescent="0.25">
      <c r="B136" s="2" t="str">
        <f t="shared" si="75"/>
        <v>@color-driveway_line_paved_or_uk</v>
      </c>
      <c r="C136" s="98" t="s">
        <v>229</v>
      </c>
      <c r="D136" s="89" t="str">
        <f t="shared" si="77"/>
        <v>"#ffffff"</v>
      </c>
      <c r="E136"/>
      <c r="F136"/>
      <c r="G136"/>
      <c r="H136"/>
      <c r="I136" s="89" t="str">
        <f>C136</f>
        <v>"#ffffff"</v>
      </c>
      <c r="J136" s="89" t="str">
        <f t="shared" si="78"/>
        <v>"#ffffff"</v>
      </c>
      <c r="K136"/>
      <c r="L136"/>
      <c r="M136"/>
      <c r="N136"/>
      <c r="O136" s="129"/>
      <c r="P136" s="129"/>
      <c r="Q136"/>
      <c r="R136" s="129"/>
      <c r="S136" s="129"/>
      <c r="U136"/>
      <c r="V136"/>
      <c r="W136"/>
      <c r="X136"/>
      <c r="Y136"/>
      <c r="Z136"/>
      <c r="AA136" s="2" t="s">
        <v>6</v>
      </c>
      <c r="AB136" s="2" t="str">
        <f t="shared" si="44"/>
        <v>-</v>
      </c>
      <c r="AC136" s="2" t="s">
        <v>30</v>
      </c>
      <c r="AD136" s="2" t="str">
        <f t="shared" si="47"/>
        <v>_</v>
      </c>
      <c r="AE136" s="2" t="s">
        <v>13</v>
      </c>
      <c r="AF136" s="2" t="str">
        <f t="shared" si="48"/>
        <v>_</v>
      </c>
      <c r="AG136" s="2" t="s">
        <v>25</v>
      </c>
    </row>
    <row r="137" spans="2:33" x14ac:dyDescent="0.25">
      <c r="B137" s="2"/>
      <c r="C137"/>
      <c r="D137"/>
      <c r="E137"/>
      <c r="F137"/>
      <c r="G137"/>
      <c r="H137"/>
      <c r="J137"/>
      <c r="K137"/>
      <c r="L137"/>
      <c r="M137"/>
      <c r="N137"/>
      <c r="O137"/>
      <c r="P137"/>
      <c r="Q137"/>
      <c r="R137"/>
      <c r="S137"/>
      <c r="U137"/>
      <c r="V137"/>
      <c r="W137"/>
      <c r="X137"/>
      <c r="Y137"/>
      <c r="Z137"/>
      <c r="AB137" s="29" t="str">
        <f t="shared" ref="AB137:AB145" si="79">IF(NOT(ISBLANK(AC137)),"-","")</f>
        <v/>
      </c>
      <c r="AD137" s="29" t="str">
        <f t="shared" ref="AD137:AD145" si="80">IF(NOT(ISBLANK(AE137)),"_","")</f>
        <v/>
      </c>
      <c r="AF137" s="29" t="str">
        <f t="shared" ref="AF137:AF145" si="81">IF(NOT(ISBLANK(AG137)),"_","")</f>
        <v/>
      </c>
    </row>
    <row r="138" spans="2:33" x14ac:dyDescent="0.25">
      <c r="B138" s="2" t="str">
        <f t="shared" ref="B138:B145" si="82">_xlfn.CONCAT("@",AA138,AB138,AC138,AD138,AE138,AF138,AG138)</f>
        <v>@color-service_case</v>
      </c>
      <c r="C138" s="129"/>
      <c r="D138" s="129"/>
      <c r="E138"/>
      <c r="F138" s="129"/>
      <c r="G138" s="129"/>
      <c r="H138"/>
      <c r="I138" s="129"/>
      <c r="J138" s="129"/>
      <c r="K138"/>
      <c r="L138" s="129"/>
      <c r="M138" s="129"/>
      <c r="N138"/>
      <c r="O138" s="82" t="s">
        <v>217</v>
      </c>
      <c r="P138" s="82" t="s">
        <v>217</v>
      </c>
      <c r="Q138"/>
      <c r="R138"/>
      <c r="S138"/>
      <c r="U138"/>
      <c r="V138"/>
      <c r="W138"/>
      <c r="X138"/>
      <c r="Y138"/>
      <c r="Z138"/>
      <c r="AA138" s="2" t="s">
        <v>6</v>
      </c>
      <c r="AB138" s="2" t="str">
        <f t="shared" si="79"/>
        <v>-</v>
      </c>
      <c r="AC138" s="2" t="s">
        <v>31</v>
      </c>
      <c r="AD138" s="2" t="str">
        <f t="shared" si="80"/>
        <v>_</v>
      </c>
      <c r="AE138" s="2" t="s">
        <v>17</v>
      </c>
      <c r="AF138" s="2" t="str">
        <f t="shared" si="81"/>
        <v/>
      </c>
      <c r="AG138" s="2"/>
    </row>
    <row r="139" spans="2:33" x14ac:dyDescent="0.25">
      <c r="B139" s="2" t="str">
        <f t="shared" si="82"/>
        <v>@color-service_case_unpaved_farzoom</v>
      </c>
      <c r="C139" s="121" t="s">
        <v>238</v>
      </c>
      <c r="D139" s="122" t="s">
        <v>242</v>
      </c>
      <c r="E139"/>
      <c r="F139" s="82" t="s">
        <v>217</v>
      </c>
      <c r="G139"/>
      <c r="H139"/>
      <c r="I139" s="137" t="str">
        <f t="shared" ref="I139:J142" si="83">C139</f>
        <v>"#b99346"</v>
      </c>
      <c r="J139" s="134" t="str">
        <f t="shared" si="83"/>
        <v>"#644507"</v>
      </c>
      <c r="K139"/>
      <c r="L139"/>
      <c r="M139"/>
      <c r="N139"/>
      <c r="O139" s="129"/>
      <c r="P139" s="129"/>
      <c r="Q139"/>
      <c r="R139" s="129"/>
      <c r="S139" s="129"/>
      <c r="U139"/>
      <c r="V139"/>
      <c r="W139"/>
      <c r="X139"/>
      <c r="Y139"/>
      <c r="Z139"/>
      <c r="AA139" s="2" t="s">
        <v>6</v>
      </c>
      <c r="AB139" s="2" t="str">
        <f t="shared" si="79"/>
        <v>-</v>
      </c>
      <c r="AC139" s="2" t="s">
        <v>31</v>
      </c>
      <c r="AD139" s="2" t="str">
        <f t="shared" si="80"/>
        <v>_</v>
      </c>
      <c r="AE139" s="2" t="s">
        <v>17</v>
      </c>
      <c r="AF139" s="2" t="str">
        <f t="shared" si="81"/>
        <v>_</v>
      </c>
      <c r="AG139" s="2" t="s">
        <v>241</v>
      </c>
    </row>
    <row r="140" spans="2:33" x14ac:dyDescent="0.25">
      <c r="B140" s="2" t="str">
        <f t="shared" si="82"/>
        <v>@color-service_case_unpaved</v>
      </c>
      <c r="C140" s="122" t="s">
        <v>242</v>
      </c>
      <c r="D140" s="122" t="s">
        <v>242</v>
      </c>
      <c r="E140"/>
      <c r="F140" s="82" t="s">
        <v>217</v>
      </c>
      <c r="G140"/>
      <c r="H140"/>
      <c r="I140" s="134" t="str">
        <f t="shared" si="83"/>
        <v>"#644507"</v>
      </c>
      <c r="J140" s="134" t="str">
        <f t="shared" si="83"/>
        <v>"#644507"</v>
      </c>
      <c r="K140"/>
      <c r="L140"/>
      <c r="M140"/>
      <c r="N140"/>
      <c r="O140" s="129"/>
      <c r="P140" s="129"/>
      <c r="Q140"/>
      <c r="R140" s="129"/>
      <c r="S140" s="129"/>
      <c r="U140"/>
      <c r="V140"/>
      <c r="W140"/>
      <c r="X140"/>
      <c r="Y140"/>
      <c r="Z140"/>
      <c r="AA140" s="2" t="s">
        <v>6</v>
      </c>
      <c r="AB140" s="2" t="str">
        <f t="shared" si="79"/>
        <v>-</v>
      </c>
      <c r="AC140" s="2" t="s">
        <v>31</v>
      </c>
      <c r="AD140" s="2" t="str">
        <f t="shared" si="80"/>
        <v>_</v>
      </c>
      <c r="AE140" s="2" t="s">
        <v>17</v>
      </c>
      <c r="AF140" s="2" t="str">
        <f t="shared" si="81"/>
        <v>_</v>
      </c>
      <c r="AG140" s="2" t="s">
        <v>22</v>
      </c>
    </row>
    <row r="141" spans="2:33" x14ac:dyDescent="0.25">
      <c r="B141" s="2" t="str">
        <f t="shared" si="82"/>
        <v>@color-service_case_paved_or_uk_farzoom</v>
      </c>
      <c r="C141" s="120" t="s">
        <v>239</v>
      </c>
      <c r="D141" s="82" t="s">
        <v>217</v>
      </c>
      <c r="E141"/>
      <c r="F141" s="82" t="s">
        <v>217</v>
      </c>
      <c r="G141"/>
      <c r="H141"/>
      <c r="I141" s="138" t="str">
        <f t="shared" si="83"/>
        <v>"#808080"</v>
      </c>
      <c r="J141" s="115" t="str">
        <f t="shared" si="83"/>
        <v>"#000000"</v>
      </c>
      <c r="K141"/>
      <c r="L141"/>
      <c r="M141"/>
      <c r="N141"/>
      <c r="O141" s="129"/>
      <c r="P141" s="129"/>
      <c r="Q141"/>
      <c r="R141" s="129"/>
      <c r="S141" s="129"/>
      <c r="U141"/>
      <c r="V141"/>
      <c r="W141"/>
      <c r="X141"/>
      <c r="Y141"/>
      <c r="Z141"/>
      <c r="AA141" s="2" t="s">
        <v>6</v>
      </c>
      <c r="AB141" s="2" t="str">
        <f t="shared" si="79"/>
        <v>-</v>
      </c>
      <c r="AC141" s="2" t="s">
        <v>31</v>
      </c>
      <c r="AD141" s="2" t="str">
        <f t="shared" si="80"/>
        <v>_</v>
      </c>
      <c r="AE141" s="2" t="s">
        <v>17</v>
      </c>
      <c r="AF141" s="2" t="str">
        <f t="shared" si="81"/>
        <v>_</v>
      </c>
      <c r="AG141" s="2" t="s">
        <v>240</v>
      </c>
    </row>
    <row r="142" spans="2:33" x14ac:dyDescent="0.25">
      <c r="B142" s="2" t="str">
        <f t="shared" si="82"/>
        <v>@color-service_case_paved_or_uk</v>
      </c>
      <c r="C142" s="96" t="s">
        <v>223</v>
      </c>
      <c r="D142" s="82" t="s">
        <v>217</v>
      </c>
      <c r="E142"/>
      <c r="F142" s="82" t="s">
        <v>217</v>
      </c>
      <c r="G142"/>
      <c r="H142"/>
      <c r="I142" s="139" t="str">
        <f t="shared" si="83"/>
        <v>"#404040"</v>
      </c>
      <c r="J142" s="115" t="str">
        <f t="shared" si="83"/>
        <v>"#000000"</v>
      </c>
      <c r="K142"/>
      <c r="L142"/>
      <c r="M142"/>
      <c r="N142"/>
      <c r="O142" s="129"/>
      <c r="P142" s="129"/>
      <c r="Q142"/>
      <c r="R142" s="129"/>
      <c r="S142" s="129"/>
      <c r="U142"/>
      <c r="V142"/>
      <c r="W142" s="2"/>
      <c r="X142"/>
      <c r="Y142"/>
      <c r="Z142"/>
      <c r="AA142" s="2" t="s">
        <v>6</v>
      </c>
      <c r="AB142" s="2" t="str">
        <f t="shared" si="79"/>
        <v>-</v>
      </c>
      <c r="AC142" s="2" t="s">
        <v>31</v>
      </c>
      <c r="AD142" s="2" t="str">
        <f t="shared" si="80"/>
        <v>_</v>
      </c>
      <c r="AE142" s="2" t="s">
        <v>17</v>
      </c>
      <c r="AF142" s="2" t="str">
        <f t="shared" si="81"/>
        <v>_</v>
      </c>
      <c r="AG142" s="2" t="s">
        <v>25</v>
      </c>
    </row>
    <row r="143" spans="2:33" x14ac:dyDescent="0.25">
      <c r="B143" s="2" t="str">
        <f t="shared" ref="B143" si="84">_xlfn.CONCAT("@",AA143,AB143,AC143,AD143,AE143,AF143,AG143)</f>
        <v>@color-service_line</v>
      </c>
      <c r="C143" s="129"/>
      <c r="D143" s="129"/>
      <c r="E143"/>
      <c r="F143" s="129"/>
      <c r="G143" s="129"/>
      <c r="H143"/>
      <c r="I143" s="129"/>
      <c r="J143" s="129"/>
      <c r="K143"/>
      <c r="L143" s="129"/>
      <c r="M143" s="129"/>
      <c r="N143"/>
      <c r="O143" s="98" t="s">
        <v>229</v>
      </c>
      <c r="P143" s="89" t="str">
        <f>O143</f>
        <v>"#ffffff"</v>
      </c>
      <c r="Q143"/>
      <c r="R143"/>
      <c r="S143"/>
      <c r="U143"/>
      <c r="V143"/>
      <c r="W143"/>
      <c r="X143"/>
      <c r="Y143"/>
      <c r="Z143"/>
      <c r="AA143" s="2" t="s">
        <v>6</v>
      </c>
      <c r="AB143" s="2" t="str">
        <f t="shared" ref="AB143" si="85">IF(NOT(ISBLANK(AC143)),"-","")</f>
        <v>-</v>
      </c>
      <c r="AC143" s="2" t="s">
        <v>31</v>
      </c>
      <c r="AD143" s="2" t="str">
        <f t="shared" ref="AD143" si="86">IF(NOT(ISBLANK(AE143)),"_","")</f>
        <v>_</v>
      </c>
      <c r="AE143" s="2" t="s">
        <v>13</v>
      </c>
      <c r="AF143" s="2" t="str">
        <f t="shared" ref="AF143" si="87">IF(NOT(ISBLANK(AG143)),"_","")</f>
        <v/>
      </c>
      <c r="AG143" s="2"/>
    </row>
    <row r="144" spans="2:33" x14ac:dyDescent="0.25">
      <c r="B144" s="2" t="str">
        <f t="shared" si="82"/>
        <v>@color-service_line_unpaved</v>
      </c>
      <c r="C144" s="97" t="s">
        <v>228</v>
      </c>
      <c r="D144" s="89" t="str">
        <f t="shared" ref="D144:D145" si="88">C144</f>
        <v>"#eddfca"</v>
      </c>
      <c r="E144"/>
      <c r="F144"/>
      <c r="G144"/>
      <c r="H144"/>
      <c r="I144" s="88" t="str">
        <f>C144</f>
        <v>"#eddfca"</v>
      </c>
      <c r="J144" s="89" t="str">
        <f t="shared" ref="J144:J145" si="89">C144</f>
        <v>"#eddfca"</v>
      </c>
      <c r="K144"/>
      <c r="L144"/>
      <c r="M144"/>
      <c r="N144"/>
      <c r="O144" s="129"/>
      <c r="P144" s="129"/>
      <c r="Q144"/>
      <c r="R144" s="129"/>
      <c r="S144" s="129"/>
      <c r="U144"/>
      <c r="V144"/>
      <c r="W144"/>
      <c r="X144"/>
      <c r="Y144"/>
      <c r="Z144"/>
      <c r="AA144" s="2" t="s">
        <v>6</v>
      </c>
      <c r="AB144" s="2" t="str">
        <f t="shared" si="79"/>
        <v>-</v>
      </c>
      <c r="AC144" s="2" t="s">
        <v>31</v>
      </c>
      <c r="AD144" s="2" t="str">
        <f t="shared" si="80"/>
        <v>_</v>
      </c>
      <c r="AE144" s="2" t="s">
        <v>13</v>
      </c>
      <c r="AF144" s="2" t="str">
        <f t="shared" si="81"/>
        <v>_</v>
      </c>
      <c r="AG144" s="2" t="s">
        <v>22</v>
      </c>
    </row>
    <row r="145" spans="1:33" x14ac:dyDescent="0.25">
      <c r="B145" s="2" t="str">
        <f t="shared" si="82"/>
        <v>@color-service_line_paved_or_uk</v>
      </c>
      <c r="C145" s="98" t="s">
        <v>229</v>
      </c>
      <c r="D145" s="89" t="str">
        <f t="shared" si="88"/>
        <v>"#ffffff"</v>
      </c>
      <c r="E145"/>
      <c r="F145"/>
      <c r="G145"/>
      <c r="H145"/>
      <c r="I145" s="89" t="str">
        <f>C145</f>
        <v>"#ffffff"</v>
      </c>
      <c r="J145" s="89" t="str">
        <f t="shared" si="89"/>
        <v>"#ffffff"</v>
      </c>
      <c r="K145"/>
      <c r="L145"/>
      <c r="M145"/>
      <c r="N145"/>
      <c r="O145" s="129"/>
      <c r="P145" s="129"/>
      <c r="Q145"/>
      <c r="R145" s="129"/>
      <c r="S145" s="129"/>
      <c r="U145"/>
      <c r="V145"/>
      <c r="W145"/>
      <c r="X145"/>
      <c r="Y145"/>
      <c r="Z145"/>
      <c r="AA145" s="2" t="s">
        <v>6</v>
      </c>
      <c r="AB145" s="2" t="str">
        <f t="shared" si="79"/>
        <v>-</v>
      </c>
      <c r="AC145" s="2" t="s">
        <v>31</v>
      </c>
      <c r="AD145" s="2" t="str">
        <f t="shared" si="80"/>
        <v>_</v>
      </c>
      <c r="AE145" s="2" t="s">
        <v>13</v>
      </c>
      <c r="AF145" s="2" t="str">
        <f t="shared" si="81"/>
        <v>_</v>
      </c>
      <c r="AG145" s="2" t="s">
        <v>25</v>
      </c>
    </row>
    <row r="146" spans="1:33" x14ac:dyDescent="0.25">
      <c r="B146" s="2"/>
      <c r="C146"/>
      <c r="D146"/>
      <c r="E146"/>
      <c r="F146"/>
      <c r="G146"/>
      <c r="H146"/>
      <c r="J146"/>
      <c r="K146"/>
      <c r="L146"/>
      <c r="M146"/>
      <c r="N146"/>
      <c r="O146"/>
      <c r="P146"/>
      <c r="Q146"/>
      <c r="R146"/>
      <c r="S146"/>
      <c r="U146"/>
      <c r="V146"/>
      <c r="W146"/>
      <c r="X146"/>
      <c r="Y146"/>
      <c r="Z146"/>
      <c r="AB146" s="29" t="str">
        <f t="shared" si="44"/>
        <v/>
      </c>
      <c r="AD146" s="29" t="str">
        <f t="shared" si="47"/>
        <v/>
      </c>
      <c r="AF146" s="29" t="str">
        <f t="shared" si="48"/>
        <v/>
      </c>
    </row>
    <row r="147" spans="1:33" x14ac:dyDescent="0.25">
      <c r="B147" s="2" t="str">
        <f t="shared" ref="B147" si="90">_xlfn.CONCAT("@",AA147,AB147,AC147,AD147,AE147,AF147,AG147)</f>
        <v>@color-minor_case</v>
      </c>
      <c r="C147" s="129"/>
      <c r="D147" s="129"/>
      <c r="E147"/>
      <c r="F147" s="129"/>
      <c r="G147" s="129"/>
      <c r="H147"/>
      <c r="I147" s="129"/>
      <c r="J147" s="129"/>
      <c r="K147"/>
      <c r="L147" s="129"/>
      <c r="M147" s="129"/>
      <c r="N147"/>
      <c r="O147" s="82" t="s">
        <v>217</v>
      </c>
      <c r="P147" s="82" t="s">
        <v>217</v>
      </c>
      <c r="Q147"/>
      <c r="R147"/>
      <c r="S147"/>
      <c r="U147"/>
      <c r="V147"/>
      <c r="W147"/>
      <c r="X147"/>
      <c r="Y147"/>
      <c r="Z147"/>
      <c r="AA147" s="2" t="s">
        <v>6</v>
      </c>
      <c r="AB147" s="2" t="str">
        <f t="shared" ref="AB147" si="91">IF(NOT(ISBLANK(AC147)),"-","")</f>
        <v>-</v>
      </c>
      <c r="AC147" s="2" t="s">
        <v>32</v>
      </c>
      <c r="AD147" s="2" t="str">
        <f t="shared" ref="AD147" si="92">IF(NOT(ISBLANK(AE147)),"_","")</f>
        <v>_</v>
      </c>
      <c r="AE147" s="2" t="s">
        <v>17</v>
      </c>
      <c r="AF147" s="2" t="str">
        <f t="shared" ref="AF147" si="93">IF(NOT(ISBLANK(AG147)),"_","")</f>
        <v/>
      </c>
      <c r="AG147" s="2"/>
    </row>
    <row r="148" spans="1:33" x14ac:dyDescent="0.25">
      <c r="B148" s="2" t="str">
        <f t="shared" ref="B148" si="94">_xlfn.CONCAT("@",AA148,AB148,AC148,AD148,AE148,AF148,AG148)</f>
        <v>@color-minor_case_unpaved_farzoom</v>
      </c>
      <c r="C148" s="121" t="s">
        <v>238</v>
      </c>
      <c r="D148" s="122" t="s">
        <v>242</v>
      </c>
      <c r="E148"/>
      <c r="F148" s="82" t="s">
        <v>217</v>
      </c>
      <c r="G148"/>
      <c r="H148"/>
      <c r="I148" s="137" t="str">
        <f t="shared" ref="I148:J151" si="95">C148</f>
        <v>"#b99346"</v>
      </c>
      <c r="J148" s="134" t="str">
        <f t="shared" si="95"/>
        <v>"#644507"</v>
      </c>
      <c r="K148"/>
      <c r="L148"/>
      <c r="M148"/>
      <c r="N148"/>
      <c r="O148" s="129"/>
      <c r="P148" s="129"/>
      <c r="Q148"/>
      <c r="R148" s="129"/>
      <c r="S148" s="129"/>
      <c r="U148"/>
      <c r="V148"/>
      <c r="W148"/>
      <c r="X148"/>
      <c r="Y148"/>
      <c r="Z148"/>
      <c r="AA148" s="2" t="s">
        <v>6</v>
      </c>
      <c r="AB148" s="2" t="str">
        <f t="shared" ref="AB148" si="96">IF(NOT(ISBLANK(AC148)),"-","")</f>
        <v>-</v>
      </c>
      <c r="AC148" s="2" t="s">
        <v>32</v>
      </c>
      <c r="AD148" s="2" t="str">
        <f t="shared" ref="AD148" si="97">IF(NOT(ISBLANK(AE148)),"_","")</f>
        <v>_</v>
      </c>
      <c r="AE148" s="2" t="s">
        <v>17</v>
      </c>
      <c r="AF148" s="2" t="str">
        <f t="shared" ref="AF148" si="98">IF(NOT(ISBLANK(AG148)),"_","")</f>
        <v>_</v>
      </c>
      <c r="AG148" s="2" t="s">
        <v>241</v>
      </c>
    </row>
    <row r="149" spans="1:33" x14ac:dyDescent="0.25">
      <c r="B149" s="2" t="str">
        <f t="shared" ref="B149:B152" si="99">_xlfn.CONCAT("@",AA149,AB149,AC149,AD149,AE149,AF149,AG149)</f>
        <v>@color-minor_case_unpaved</v>
      </c>
      <c r="C149" s="122" t="s">
        <v>242</v>
      </c>
      <c r="D149" s="122" t="s">
        <v>242</v>
      </c>
      <c r="E149"/>
      <c r="F149" s="82" t="s">
        <v>217</v>
      </c>
      <c r="G149"/>
      <c r="H149"/>
      <c r="I149" s="134" t="str">
        <f t="shared" si="95"/>
        <v>"#644507"</v>
      </c>
      <c r="J149" s="134" t="str">
        <f t="shared" si="95"/>
        <v>"#644507"</v>
      </c>
      <c r="K149"/>
      <c r="L149"/>
      <c r="M149"/>
      <c r="N149"/>
      <c r="O149" s="129"/>
      <c r="P149" s="129"/>
      <c r="Q149"/>
      <c r="R149" s="129"/>
      <c r="S149" s="129"/>
      <c r="U149"/>
      <c r="V149"/>
      <c r="W149"/>
      <c r="X149"/>
      <c r="Y149"/>
      <c r="Z149"/>
      <c r="AA149" s="2" t="s">
        <v>6</v>
      </c>
      <c r="AB149" s="2" t="str">
        <f t="shared" si="44"/>
        <v>-</v>
      </c>
      <c r="AC149" s="2" t="s">
        <v>32</v>
      </c>
      <c r="AD149" s="2" t="str">
        <f t="shared" si="47"/>
        <v>_</v>
      </c>
      <c r="AE149" s="2" t="s">
        <v>17</v>
      </c>
      <c r="AF149" s="2" t="str">
        <f t="shared" si="48"/>
        <v>_</v>
      </c>
      <c r="AG149" s="2" t="s">
        <v>22</v>
      </c>
    </row>
    <row r="150" spans="1:33" x14ac:dyDescent="0.25">
      <c r="B150" s="2" t="str">
        <f t="shared" ref="B150" si="100">_xlfn.CONCAT("@",AA150,AB150,AC150,AD150,AE150,AF150,AG150)</f>
        <v>@color-minor_case_paved_or_uk_farzoom</v>
      </c>
      <c r="C150" s="120" t="s">
        <v>239</v>
      </c>
      <c r="D150" s="82" t="s">
        <v>217</v>
      </c>
      <c r="E150"/>
      <c r="F150" s="82" t="s">
        <v>217</v>
      </c>
      <c r="G150"/>
      <c r="H150"/>
      <c r="I150" s="138" t="str">
        <f t="shared" si="95"/>
        <v>"#808080"</v>
      </c>
      <c r="J150" s="115" t="str">
        <f t="shared" si="95"/>
        <v>"#000000"</v>
      </c>
      <c r="K150"/>
      <c r="L150"/>
      <c r="M150"/>
      <c r="N150"/>
      <c r="O150" s="129"/>
      <c r="P150" s="129"/>
      <c r="Q150"/>
      <c r="R150" s="129"/>
      <c r="S150" s="129"/>
      <c r="U150"/>
      <c r="V150"/>
      <c r="W150"/>
      <c r="X150"/>
      <c r="Y150"/>
      <c r="Z150"/>
      <c r="AA150" s="2" t="s">
        <v>6</v>
      </c>
      <c r="AB150" s="2" t="str">
        <f t="shared" ref="AB150" si="101">IF(NOT(ISBLANK(AC150)),"-","")</f>
        <v>-</v>
      </c>
      <c r="AC150" s="2" t="s">
        <v>32</v>
      </c>
      <c r="AD150" s="2" t="str">
        <f t="shared" ref="AD150" si="102">IF(NOT(ISBLANK(AE150)),"_","")</f>
        <v>_</v>
      </c>
      <c r="AE150" s="2" t="s">
        <v>17</v>
      </c>
      <c r="AF150" s="2" t="str">
        <f t="shared" ref="AF150" si="103">IF(NOT(ISBLANK(AG150)),"_","")</f>
        <v>_</v>
      </c>
      <c r="AG150" s="2" t="s">
        <v>240</v>
      </c>
    </row>
    <row r="151" spans="1:33" x14ac:dyDescent="0.25">
      <c r="B151" s="2" t="str">
        <f t="shared" si="99"/>
        <v>@color-minor_case_paved_or_uk</v>
      </c>
      <c r="C151" s="96" t="s">
        <v>223</v>
      </c>
      <c r="D151" s="82" t="s">
        <v>217</v>
      </c>
      <c r="E151"/>
      <c r="F151" s="82" t="s">
        <v>217</v>
      </c>
      <c r="G151"/>
      <c r="H151"/>
      <c r="I151" s="139" t="str">
        <f t="shared" si="95"/>
        <v>"#404040"</v>
      </c>
      <c r="J151" s="115" t="str">
        <f t="shared" si="95"/>
        <v>"#000000"</v>
      </c>
      <c r="K151"/>
      <c r="L151"/>
      <c r="M151"/>
      <c r="N151"/>
      <c r="O151" s="129"/>
      <c r="P151" s="129"/>
      <c r="Q151"/>
      <c r="R151" s="129"/>
      <c r="S151" s="129"/>
      <c r="U151"/>
      <c r="V151"/>
      <c r="W151"/>
      <c r="X151"/>
      <c r="Y151"/>
      <c r="Z151"/>
      <c r="AA151" s="2" t="s">
        <v>6</v>
      </c>
      <c r="AB151" s="2" t="str">
        <f t="shared" si="44"/>
        <v>-</v>
      </c>
      <c r="AC151" s="2" t="s">
        <v>32</v>
      </c>
      <c r="AD151" s="2" t="str">
        <f t="shared" si="47"/>
        <v>_</v>
      </c>
      <c r="AE151" s="2" t="s">
        <v>17</v>
      </c>
      <c r="AF151" s="2" t="str">
        <f t="shared" si="48"/>
        <v>_</v>
      </c>
      <c r="AG151" s="2" t="s">
        <v>25</v>
      </c>
    </row>
    <row r="152" spans="1:33" x14ac:dyDescent="0.25">
      <c r="B152" s="2" t="str">
        <f t="shared" si="99"/>
        <v>@color-minor_line</v>
      </c>
      <c r="C152" s="129"/>
      <c r="D152" s="129"/>
      <c r="E152"/>
      <c r="F152" s="129"/>
      <c r="G152" s="129"/>
      <c r="H152"/>
      <c r="I152" s="129"/>
      <c r="J152" s="129"/>
      <c r="K152"/>
      <c r="L152" s="129"/>
      <c r="M152" s="129"/>
      <c r="N152"/>
      <c r="O152" s="98" t="s">
        <v>229</v>
      </c>
      <c r="P152" s="89" t="str">
        <f>O152</f>
        <v>"#ffffff"</v>
      </c>
      <c r="Q152"/>
      <c r="R152"/>
      <c r="S152"/>
      <c r="U152"/>
      <c r="V152"/>
      <c r="W152"/>
      <c r="X152"/>
      <c r="Y152"/>
      <c r="Z152"/>
      <c r="AA152" s="2" t="s">
        <v>6</v>
      </c>
      <c r="AB152" s="2" t="str">
        <f t="shared" ref="AB152" si="104">IF(NOT(ISBLANK(AC152)),"-","")</f>
        <v>-</v>
      </c>
      <c r="AC152" s="2" t="s">
        <v>32</v>
      </c>
      <c r="AD152" s="2" t="str">
        <f t="shared" ref="AD152" si="105">IF(NOT(ISBLANK(AE152)),"_","")</f>
        <v>_</v>
      </c>
      <c r="AE152" s="2" t="s">
        <v>13</v>
      </c>
      <c r="AF152" s="2" t="str">
        <f t="shared" ref="AF152" si="106">IF(NOT(ISBLANK(AG152)),"_","")</f>
        <v/>
      </c>
      <c r="AG152" s="2"/>
    </row>
    <row r="153" spans="1:33" x14ac:dyDescent="0.25">
      <c r="B153" s="2" t="str">
        <f t="shared" si="39"/>
        <v>@color-minor_line_unpaved</v>
      </c>
      <c r="C153" s="97" t="s">
        <v>228</v>
      </c>
      <c r="D153" s="89" t="str">
        <f t="shared" ref="D153:D154" si="107">C153</f>
        <v>"#eddfca"</v>
      </c>
      <c r="E153"/>
      <c r="F153"/>
      <c r="G153"/>
      <c r="H153"/>
      <c r="I153" s="88" t="str">
        <f>C153</f>
        <v>"#eddfca"</v>
      </c>
      <c r="J153" s="89" t="str">
        <f t="shared" ref="J153:J154" si="108">C153</f>
        <v>"#eddfca"</v>
      </c>
      <c r="K153"/>
      <c r="L153"/>
      <c r="M153"/>
      <c r="N153"/>
      <c r="O153" s="129"/>
      <c r="P153" s="129"/>
      <c r="Q153"/>
      <c r="R153" s="129"/>
      <c r="S153" s="129"/>
      <c r="U153"/>
      <c r="V153"/>
      <c r="W153"/>
      <c r="X153"/>
      <c r="Y153"/>
      <c r="Z153"/>
      <c r="AA153" s="2" t="s">
        <v>6</v>
      </c>
      <c r="AB153" s="2" t="str">
        <f t="shared" si="44"/>
        <v>-</v>
      </c>
      <c r="AC153" s="2" t="s">
        <v>32</v>
      </c>
      <c r="AD153" s="2" t="str">
        <f t="shared" si="47"/>
        <v>_</v>
      </c>
      <c r="AE153" s="2" t="s">
        <v>13</v>
      </c>
      <c r="AF153" s="2" t="str">
        <f t="shared" si="48"/>
        <v>_</v>
      </c>
      <c r="AG153" s="2" t="s">
        <v>22</v>
      </c>
    </row>
    <row r="154" spans="1:33" x14ac:dyDescent="0.25">
      <c r="B154" s="2" t="str">
        <f t="shared" si="39"/>
        <v>@color-minor_line_paved_or_uk</v>
      </c>
      <c r="C154" s="98" t="s">
        <v>229</v>
      </c>
      <c r="D154" s="89" t="str">
        <f t="shared" si="107"/>
        <v>"#ffffff"</v>
      </c>
      <c r="E154"/>
      <c r="F154"/>
      <c r="G154"/>
      <c r="H154"/>
      <c r="I154" s="89" t="str">
        <f>C154</f>
        <v>"#ffffff"</v>
      </c>
      <c r="J154" s="89" t="str">
        <f t="shared" si="108"/>
        <v>"#ffffff"</v>
      </c>
      <c r="K154"/>
      <c r="L154"/>
      <c r="M154"/>
      <c r="N154"/>
      <c r="O154" s="129"/>
      <c r="P154" s="129"/>
      <c r="Q154"/>
      <c r="R154" s="129"/>
      <c r="S154" s="129"/>
      <c r="U154"/>
      <c r="V154"/>
      <c r="W154"/>
      <c r="X154"/>
      <c r="Y154"/>
      <c r="Z154"/>
      <c r="AA154" s="2" t="s">
        <v>6</v>
      </c>
      <c r="AB154" s="2" t="str">
        <f t="shared" si="44"/>
        <v>-</v>
      </c>
      <c r="AC154" s="2" t="s">
        <v>32</v>
      </c>
      <c r="AD154" s="2" t="str">
        <f t="shared" si="47"/>
        <v>_</v>
      </c>
      <c r="AE154" s="2" t="s">
        <v>13</v>
      </c>
      <c r="AF154" s="2" t="str">
        <f t="shared" si="48"/>
        <v>_</v>
      </c>
      <c r="AG154" s="2" t="s">
        <v>25</v>
      </c>
    </row>
    <row r="155" spans="1:33" x14ac:dyDescent="0.25">
      <c r="B155" s="2"/>
      <c r="C155"/>
      <c r="D155"/>
      <c r="E155"/>
      <c r="F155"/>
      <c r="G155"/>
      <c r="H155"/>
      <c r="J155"/>
      <c r="K155"/>
      <c r="L155"/>
      <c r="M155"/>
      <c r="N155"/>
      <c r="O155"/>
      <c r="P155"/>
      <c r="Q155"/>
      <c r="R155"/>
      <c r="S155"/>
      <c r="U155"/>
      <c r="V155"/>
      <c r="W155"/>
      <c r="X155"/>
      <c r="Y155"/>
      <c r="Z155"/>
      <c r="AB155" s="29" t="str">
        <f t="shared" si="44"/>
        <v/>
      </c>
      <c r="AD155" s="29" t="str">
        <f t="shared" si="47"/>
        <v/>
      </c>
      <c r="AF155" s="29" t="str">
        <f t="shared" si="48"/>
        <v/>
      </c>
    </row>
    <row r="156" spans="1:33" s="2" customFormat="1" x14ac:dyDescent="0.25">
      <c r="A156" s="4" t="s">
        <v>232</v>
      </c>
      <c r="B156" s="4"/>
      <c r="C156" s="4"/>
      <c r="D156" s="5"/>
      <c r="F156" s="5"/>
      <c r="G156" s="5"/>
      <c r="I156" s="5"/>
      <c r="J156" s="5"/>
      <c r="L156" s="5"/>
      <c r="M156" s="5"/>
      <c r="O156" s="5"/>
      <c r="P156" s="5"/>
      <c r="R156" s="5"/>
      <c r="S156" s="5"/>
      <c r="U156" s="5"/>
      <c r="V156" s="5"/>
      <c r="X156" s="5"/>
      <c r="Y156" s="5"/>
      <c r="AA156" s="5"/>
      <c r="AB156" s="5" t="str">
        <f t="shared" si="44"/>
        <v/>
      </c>
      <c r="AC156" s="5"/>
      <c r="AD156" s="5" t="str">
        <f t="shared" si="47"/>
        <v/>
      </c>
      <c r="AE156" s="5"/>
      <c r="AF156" s="5" t="str">
        <f t="shared" si="48"/>
        <v/>
      </c>
      <c r="AG156" s="5"/>
    </row>
    <row r="157" spans="1:33" x14ac:dyDescent="0.25">
      <c r="B157" s="2" t="str">
        <f t="shared" si="39"/>
        <v>@color-motorway_link_line</v>
      </c>
      <c r="C157" s="38" t="s">
        <v>216</v>
      </c>
      <c r="D157" s="39" t="s">
        <v>218</v>
      </c>
      <c r="E157"/>
      <c r="F157"/>
      <c r="G157"/>
      <c r="H157"/>
      <c r="J157"/>
      <c r="K157"/>
      <c r="L157"/>
      <c r="M157"/>
      <c r="N157"/>
      <c r="O157"/>
      <c r="P157"/>
      <c r="Q157"/>
      <c r="R157"/>
      <c r="S157"/>
      <c r="U157"/>
      <c r="V157"/>
      <c r="W157"/>
      <c r="X157"/>
      <c r="Y157"/>
      <c r="Z157"/>
      <c r="AA157" s="2" t="s">
        <v>6</v>
      </c>
      <c r="AB157" s="2" t="str">
        <f t="shared" si="44"/>
        <v>-</v>
      </c>
      <c r="AC157" s="2" t="s">
        <v>34</v>
      </c>
      <c r="AD157" s="2" t="str">
        <f t="shared" si="47"/>
        <v>_</v>
      </c>
      <c r="AE157" s="2" t="s">
        <v>13</v>
      </c>
      <c r="AF157" s="2" t="str">
        <f t="shared" si="48"/>
        <v/>
      </c>
      <c r="AG157" s="2"/>
    </row>
    <row r="158" spans="1:33" x14ac:dyDescent="0.25">
      <c r="B158" s="2" t="str">
        <f t="shared" si="39"/>
        <v>@color-motorway_link_case</v>
      </c>
      <c r="C158" s="37" t="s">
        <v>215</v>
      </c>
      <c r="D158" s="3" t="s">
        <v>18</v>
      </c>
      <c r="E158"/>
      <c r="F158" s="82" t="s">
        <v>217</v>
      </c>
      <c r="G158"/>
      <c r="H158"/>
      <c r="J158"/>
      <c r="K158"/>
      <c r="L158"/>
      <c r="M158"/>
      <c r="N158"/>
      <c r="O158"/>
      <c r="P158"/>
      <c r="Q158"/>
      <c r="R158"/>
      <c r="S158"/>
      <c r="U158"/>
      <c r="V158"/>
      <c r="W158"/>
      <c r="X158"/>
      <c r="Y158"/>
      <c r="Z158"/>
      <c r="AA158" s="2" t="s">
        <v>6</v>
      </c>
      <c r="AB158" s="2" t="str">
        <f t="shared" si="44"/>
        <v>-</v>
      </c>
      <c r="AC158" s="2" t="s">
        <v>34</v>
      </c>
      <c r="AD158" s="2" t="str">
        <f t="shared" si="47"/>
        <v>_</v>
      </c>
      <c r="AE158" s="2" t="s">
        <v>17</v>
      </c>
      <c r="AF158" s="2" t="str">
        <f t="shared" si="48"/>
        <v/>
      </c>
      <c r="AG158" s="2"/>
    </row>
    <row r="159" spans="1:33" x14ac:dyDescent="0.25">
      <c r="B159" s="2" t="str">
        <f t="shared" si="39"/>
        <v>@color-trunk_primary_secondary_tertiary_link_line</v>
      </c>
      <c r="C159" s="86" t="s">
        <v>224</v>
      </c>
      <c r="D159" s="39" t="s">
        <v>218</v>
      </c>
      <c r="E159"/>
      <c r="F159"/>
      <c r="G159"/>
      <c r="H159"/>
      <c r="J159"/>
      <c r="K159"/>
      <c r="L159"/>
      <c r="M159"/>
      <c r="N159"/>
      <c r="O159"/>
      <c r="P159"/>
      <c r="Q159"/>
      <c r="R159"/>
      <c r="S159"/>
      <c r="U159"/>
      <c r="V159"/>
      <c r="W159"/>
      <c r="X159"/>
      <c r="Y159"/>
      <c r="Z159"/>
      <c r="AA159" s="2" t="s">
        <v>6</v>
      </c>
      <c r="AB159" s="2" t="str">
        <f t="shared" si="44"/>
        <v>-</v>
      </c>
      <c r="AC159" s="2" t="s">
        <v>33</v>
      </c>
      <c r="AD159" s="2" t="str">
        <f t="shared" si="47"/>
        <v>_</v>
      </c>
      <c r="AE159" s="2" t="s">
        <v>13</v>
      </c>
      <c r="AF159" s="2" t="str">
        <f t="shared" si="48"/>
        <v/>
      </c>
      <c r="AG159" s="2"/>
    </row>
    <row r="160" spans="1:33" x14ac:dyDescent="0.25">
      <c r="B160" s="2" t="str">
        <f t="shared" si="39"/>
        <v>@color-trunk_primary_secondary_tertiary_link_line_bicycle_no</v>
      </c>
      <c r="C160" s="38" t="s">
        <v>216</v>
      </c>
      <c r="D160" s="87" t="s">
        <v>225</v>
      </c>
      <c r="E160"/>
      <c r="F160"/>
      <c r="G160"/>
      <c r="H160"/>
      <c r="J160"/>
      <c r="K160"/>
      <c r="L160"/>
      <c r="M160"/>
      <c r="N160"/>
      <c r="O160"/>
      <c r="P160"/>
      <c r="Q160"/>
      <c r="R160"/>
      <c r="S160"/>
      <c r="U160"/>
      <c r="V160"/>
      <c r="W160"/>
      <c r="X160"/>
      <c r="Y160"/>
      <c r="Z160"/>
      <c r="AA160" s="2" t="s">
        <v>6</v>
      </c>
      <c r="AB160" s="2" t="str">
        <f t="shared" si="44"/>
        <v>-</v>
      </c>
      <c r="AC160" s="2" t="s">
        <v>33</v>
      </c>
      <c r="AD160" s="2" t="str">
        <f t="shared" si="47"/>
        <v>_</v>
      </c>
      <c r="AE160" s="2" t="s">
        <v>13</v>
      </c>
      <c r="AF160" s="2" t="str">
        <f t="shared" si="48"/>
        <v>_</v>
      </c>
      <c r="AG160" s="2" t="s">
        <v>24</v>
      </c>
    </row>
    <row r="161" spans="2:33" x14ac:dyDescent="0.25">
      <c r="B161" s="2" t="str">
        <f t="shared" si="39"/>
        <v>@color-trunk_primary_secondary_tertiary_link_line_unpaved</v>
      </c>
      <c r="C161"/>
      <c r="D161"/>
      <c r="E161"/>
      <c r="F161"/>
      <c r="G161"/>
      <c r="H161"/>
      <c r="I161" s="88" t="s">
        <v>228</v>
      </c>
      <c r="J161"/>
      <c r="K161"/>
      <c r="L161"/>
      <c r="M161"/>
      <c r="N161"/>
      <c r="O161"/>
      <c r="P161"/>
      <c r="Q161"/>
      <c r="R161"/>
      <c r="S161"/>
      <c r="U161"/>
      <c r="V161"/>
      <c r="W161"/>
      <c r="X161"/>
      <c r="Y161"/>
      <c r="Z161"/>
      <c r="AA161" s="2" t="s">
        <v>6</v>
      </c>
      <c r="AB161" s="2" t="str">
        <f t="shared" si="44"/>
        <v>-</v>
      </c>
      <c r="AC161" s="2" t="s">
        <v>33</v>
      </c>
      <c r="AD161" s="2" t="str">
        <f t="shared" si="47"/>
        <v>_</v>
      </c>
      <c r="AE161" s="2" t="s">
        <v>13</v>
      </c>
      <c r="AF161" s="2" t="str">
        <f t="shared" si="48"/>
        <v>_</v>
      </c>
      <c r="AG161" s="2" t="s">
        <v>22</v>
      </c>
    </row>
    <row r="162" spans="2:33" x14ac:dyDescent="0.25">
      <c r="B162" s="2" t="str">
        <f t="shared" si="39"/>
        <v>@color-trunk_primary_secondary_tertiary_link_line_paved_or_uk</v>
      </c>
      <c r="C162"/>
      <c r="D162"/>
      <c r="E162"/>
      <c r="F162"/>
      <c r="G162"/>
      <c r="H162"/>
      <c r="I162" s="89" t="s">
        <v>229</v>
      </c>
      <c r="J162"/>
      <c r="K162"/>
      <c r="L162"/>
      <c r="M162"/>
      <c r="N162"/>
      <c r="O162"/>
      <c r="P162"/>
      <c r="Q162"/>
      <c r="R162"/>
      <c r="S162"/>
      <c r="U162"/>
      <c r="V162"/>
      <c r="W162"/>
      <c r="X162"/>
      <c r="Y162"/>
      <c r="Z162"/>
      <c r="AA162" s="2" t="s">
        <v>6</v>
      </c>
      <c r="AB162" s="2" t="str">
        <f t="shared" si="44"/>
        <v>-</v>
      </c>
      <c r="AC162" s="2" t="s">
        <v>33</v>
      </c>
      <c r="AD162" s="2" t="str">
        <f t="shared" si="47"/>
        <v>_</v>
      </c>
      <c r="AE162" s="2" t="s">
        <v>13</v>
      </c>
      <c r="AF162" s="2" t="str">
        <f t="shared" si="48"/>
        <v>_</v>
      </c>
      <c r="AG162" s="2" t="s">
        <v>25</v>
      </c>
    </row>
    <row r="163" spans="2:33" x14ac:dyDescent="0.25">
      <c r="B163" s="2" t="str">
        <f t="shared" si="39"/>
        <v>@</v>
      </c>
      <c r="C163"/>
      <c r="D163"/>
      <c r="E163"/>
      <c r="F163"/>
      <c r="G163"/>
      <c r="H163"/>
      <c r="J163"/>
      <c r="K163"/>
      <c r="L163"/>
      <c r="M163"/>
      <c r="N163"/>
      <c r="O163"/>
      <c r="P163"/>
      <c r="Q163"/>
      <c r="R163"/>
      <c r="S163"/>
      <c r="U163"/>
      <c r="V163"/>
      <c r="W163"/>
      <c r="X163"/>
      <c r="Y163"/>
      <c r="Z163"/>
    </row>
    <row r="164" spans="2:33" x14ac:dyDescent="0.25">
      <c r="B164" s="2" t="str">
        <f t="shared" si="39"/>
        <v>@</v>
      </c>
      <c r="C164"/>
      <c r="D164"/>
      <c r="E164"/>
      <c r="F164"/>
      <c r="G164"/>
      <c r="H164"/>
      <c r="J164"/>
      <c r="K164"/>
      <c r="L164"/>
      <c r="M164"/>
      <c r="N164"/>
      <c r="O164"/>
      <c r="P164"/>
      <c r="Q164"/>
      <c r="R164"/>
      <c r="S164"/>
      <c r="U164"/>
      <c r="V164"/>
      <c r="W164"/>
      <c r="X164"/>
      <c r="Y164"/>
      <c r="Z164"/>
    </row>
    <row r="165" spans="2:33" x14ac:dyDescent="0.25">
      <c r="B165" s="2" t="str">
        <f t="shared" si="39"/>
        <v>@</v>
      </c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U165"/>
      <c r="V165"/>
      <c r="W165"/>
      <c r="X165"/>
      <c r="Y165"/>
      <c r="Z165"/>
    </row>
    <row r="166" spans="2:33" x14ac:dyDescent="0.25">
      <c r="B166" s="2" t="str">
        <f t="shared" si="39"/>
        <v>@</v>
      </c>
      <c r="C166"/>
      <c r="D166"/>
      <c r="E166"/>
      <c r="F166"/>
      <c r="G166"/>
      <c r="H166"/>
      <c r="J166"/>
      <c r="K166"/>
      <c r="L166"/>
      <c r="M166"/>
      <c r="N166"/>
      <c r="O166"/>
      <c r="P166"/>
      <c r="Q166"/>
      <c r="R166"/>
      <c r="S166"/>
      <c r="U166"/>
      <c r="V166"/>
      <c r="W166"/>
      <c r="X166"/>
      <c r="Y166"/>
      <c r="Z166"/>
    </row>
    <row r="167" spans="2:33" x14ac:dyDescent="0.25">
      <c r="B167" s="2" t="str">
        <f t="shared" si="39"/>
        <v>@</v>
      </c>
      <c r="C167"/>
      <c r="D167"/>
      <c r="E167"/>
      <c r="F167"/>
      <c r="G167"/>
      <c r="H167"/>
      <c r="J167"/>
      <c r="K167"/>
      <c r="L167"/>
      <c r="M167"/>
      <c r="N167"/>
      <c r="O167"/>
      <c r="P167"/>
      <c r="Q167"/>
      <c r="R167"/>
      <c r="S167"/>
      <c r="U167"/>
      <c r="V167"/>
      <c r="W167"/>
      <c r="X167"/>
      <c r="Y167"/>
      <c r="Z167"/>
    </row>
    <row r="168" spans="2:33" x14ac:dyDescent="0.25">
      <c r="B168" s="2" t="str">
        <f t="shared" si="39"/>
        <v>@</v>
      </c>
      <c r="C168"/>
      <c r="D168"/>
      <c r="E168"/>
      <c r="F168"/>
      <c r="G168"/>
      <c r="H168"/>
      <c r="J168"/>
      <c r="K168"/>
      <c r="L168"/>
      <c r="M168"/>
      <c r="N168"/>
      <c r="O168"/>
      <c r="P168"/>
      <c r="Q168"/>
      <c r="R168"/>
      <c r="S168"/>
      <c r="U168"/>
      <c r="V168"/>
      <c r="W168"/>
      <c r="X168"/>
      <c r="Y168"/>
      <c r="Z168"/>
    </row>
    <row r="169" spans="2:33" x14ac:dyDescent="0.25">
      <c r="B169" s="2" t="str">
        <f t="shared" si="39"/>
        <v>@</v>
      </c>
      <c r="C169"/>
      <c r="D169"/>
      <c r="E169"/>
      <c r="F169"/>
      <c r="G169"/>
      <c r="H169"/>
      <c r="J169"/>
      <c r="K169"/>
      <c r="L169"/>
      <c r="M169"/>
      <c r="N169"/>
      <c r="O169"/>
      <c r="P169"/>
      <c r="Q169"/>
      <c r="R169"/>
      <c r="S169"/>
      <c r="U169"/>
      <c r="V169"/>
      <c r="W169"/>
      <c r="X169"/>
      <c r="Y169"/>
      <c r="Z169"/>
    </row>
    <row r="170" spans="2:33" x14ac:dyDescent="0.25">
      <c r="B170" s="2" t="str">
        <f t="shared" si="39"/>
        <v>@</v>
      </c>
      <c r="C170"/>
      <c r="D170"/>
      <c r="E170"/>
      <c r="F170"/>
      <c r="G170"/>
      <c r="H170"/>
      <c r="J170"/>
      <c r="K170"/>
      <c r="L170"/>
      <c r="M170"/>
      <c r="N170"/>
      <c r="O170"/>
      <c r="P170"/>
      <c r="Q170"/>
      <c r="R170"/>
      <c r="S170"/>
      <c r="U170"/>
      <c r="V170"/>
      <c r="W170"/>
      <c r="X170"/>
      <c r="Y170"/>
      <c r="Z170"/>
    </row>
    <row r="171" spans="2:33" x14ac:dyDescent="0.25">
      <c r="B171" s="2" t="str">
        <f t="shared" si="39"/>
        <v>@</v>
      </c>
      <c r="C171"/>
      <c r="D171"/>
      <c r="E171"/>
      <c r="F171"/>
      <c r="G171"/>
      <c r="H171"/>
      <c r="J171"/>
      <c r="K171"/>
      <c r="L171"/>
      <c r="M171"/>
      <c r="N171"/>
      <c r="O171"/>
      <c r="P171"/>
      <c r="Q171"/>
      <c r="R171"/>
      <c r="S171"/>
      <c r="U171"/>
      <c r="V171"/>
      <c r="W171"/>
      <c r="X171"/>
      <c r="Y171"/>
      <c r="Z171"/>
    </row>
    <row r="172" spans="2:33" x14ac:dyDescent="0.25">
      <c r="B172" s="2" t="str">
        <f t="shared" si="39"/>
        <v>@</v>
      </c>
      <c r="C172"/>
      <c r="D172"/>
      <c r="E172"/>
      <c r="F172"/>
      <c r="G172"/>
      <c r="H172"/>
      <c r="J172"/>
      <c r="K172"/>
      <c r="L172"/>
      <c r="M172"/>
      <c r="N172"/>
      <c r="O172"/>
      <c r="P172"/>
      <c r="Q172"/>
      <c r="R172"/>
      <c r="S172"/>
      <c r="U172"/>
      <c r="V172"/>
      <c r="W172"/>
      <c r="X172"/>
      <c r="Y172"/>
      <c r="Z172"/>
    </row>
    <row r="173" spans="2:33" x14ac:dyDescent="0.25">
      <c r="B173" s="2" t="str">
        <f t="shared" si="39"/>
        <v>@</v>
      </c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U173"/>
      <c r="V173"/>
      <c r="W173"/>
      <c r="X173"/>
      <c r="Y173"/>
      <c r="Z173"/>
    </row>
    <row r="174" spans="2:33" x14ac:dyDescent="0.25">
      <c r="B174" s="2" t="str">
        <f t="shared" si="39"/>
        <v>@</v>
      </c>
      <c r="C174"/>
      <c r="D174"/>
      <c r="E174"/>
      <c r="F174"/>
      <c r="G174"/>
      <c r="H174"/>
      <c r="J174"/>
      <c r="K174"/>
      <c r="L174"/>
      <c r="M174"/>
      <c r="N174"/>
      <c r="O174"/>
      <c r="P174"/>
      <c r="Q174"/>
      <c r="R174"/>
      <c r="S174"/>
      <c r="U174"/>
      <c r="V174"/>
      <c r="W174"/>
      <c r="X174"/>
      <c r="Y174"/>
      <c r="Z174"/>
    </row>
    <row r="175" spans="2:33" x14ac:dyDescent="0.25">
      <c r="B175" s="2" t="str">
        <f t="shared" si="39"/>
        <v>@</v>
      </c>
      <c r="C175"/>
      <c r="D175"/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U175"/>
      <c r="V175"/>
      <c r="W175"/>
      <c r="X175"/>
      <c r="Y175"/>
      <c r="Z175"/>
    </row>
    <row r="176" spans="2:33" x14ac:dyDescent="0.25">
      <c r="B176" s="2" t="str">
        <f t="shared" si="39"/>
        <v>@</v>
      </c>
      <c r="C176"/>
      <c r="D176"/>
      <c r="E176"/>
      <c r="F176"/>
      <c r="G176"/>
      <c r="H176"/>
      <c r="J176"/>
      <c r="K176"/>
      <c r="L176"/>
      <c r="M176"/>
      <c r="N176"/>
      <c r="O176"/>
      <c r="P176"/>
      <c r="Q176"/>
      <c r="R176"/>
      <c r="S176"/>
      <c r="U176"/>
      <c r="V176"/>
      <c r="W176"/>
      <c r="X176"/>
      <c r="Y176"/>
      <c r="Z176"/>
    </row>
    <row r="177" spans="2:26" x14ac:dyDescent="0.25">
      <c r="B177" s="2" t="str">
        <f t="shared" si="39"/>
        <v>@</v>
      </c>
      <c r="C177"/>
      <c r="D177"/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U177"/>
      <c r="V177"/>
      <c r="W177"/>
      <c r="X177"/>
      <c r="Y177"/>
      <c r="Z177"/>
    </row>
    <row r="178" spans="2:26" x14ac:dyDescent="0.25">
      <c r="B178" s="2" t="str">
        <f t="shared" si="39"/>
        <v>@</v>
      </c>
      <c r="C178"/>
      <c r="D178"/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U178"/>
      <c r="V178"/>
      <c r="W178"/>
      <c r="X178"/>
      <c r="Y178"/>
      <c r="Z178"/>
    </row>
    <row r="179" spans="2:26" x14ac:dyDescent="0.25">
      <c r="B179" s="2" t="str">
        <f t="shared" si="39"/>
        <v>@</v>
      </c>
      <c r="C179"/>
      <c r="D179"/>
      <c r="E179"/>
      <c r="F179"/>
      <c r="G179"/>
      <c r="H179"/>
      <c r="J179"/>
      <c r="K179"/>
      <c r="L179"/>
      <c r="M179"/>
      <c r="N179"/>
      <c r="O179"/>
      <c r="P179"/>
      <c r="Q179"/>
      <c r="R179"/>
      <c r="S179"/>
      <c r="U179"/>
      <c r="V179"/>
      <c r="W179"/>
      <c r="X179"/>
      <c r="Y179"/>
      <c r="Z179"/>
    </row>
    <row r="180" spans="2:26" x14ac:dyDescent="0.25">
      <c r="B180" s="2" t="str">
        <f t="shared" si="39"/>
        <v>@</v>
      </c>
      <c r="C180"/>
      <c r="D180"/>
      <c r="E180"/>
      <c r="F180"/>
      <c r="G180"/>
      <c r="H180"/>
      <c r="J180"/>
      <c r="K180"/>
      <c r="L180"/>
      <c r="M180"/>
      <c r="N180"/>
      <c r="O180"/>
      <c r="P180"/>
      <c r="Q180"/>
      <c r="R180"/>
      <c r="S180"/>
      <c r="U180"/>
      <c r="V180"/>
      <c r="W180"/>
      <c r="X180"/>
      <c r="Y180"/>
      <c r="Z180"/>
    </row>
    <row r="181" spans="2:26" x14ac:dyDescent="0.25">
      <c r="B181" s="2" t="str">
        <f t="shared" si="39"/>
        <v>@</v>
      </c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U181"/>
      <c r="V181"/>
      <c r="W181"/>
      <c r="X181"/>
      <c r="Y181"/>
      <c r="Z181"/>
    </row>
    <row r="182" spans="2:26" x14ac:dyDescent="0.25"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U182"/>
      <c r="V182"/>
      <c r="W182"/>
      <c r="X182"/>
      <c r="Y182"/>
      <c r="Z182"/>
    </row>
    <row r="183" spans="2:26" x14ac:dyDescent="0.25"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U183"/>
      <c r="V183"/>
      <c r="W183"/>
      <c r="X183"/>
      <c r="Y183"/>
      <c r="Z183"/>
    </row>
    <row r="184" spans="2:26" x14ac:dyDescent="0.25"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U184"/>
      <c r="V184"/>
      <c r="W184"/>
      <c r="X184"/>
      <c r="Y184"/>
      <c r="Z184"/>
    </row>
    <row r="185" spans="2:26" x14ac:dyDescent="0.25"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U185"/>
      <c r="V185"/>
      <c r="W185"/>
      <c r="X185"/>
      <c r="Y185"/>
      <c r="Z185"/>
    </row>
    <row r="186" spans="2:26" x14ac:dyDescent="0.25"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U186"/>
      <c r="V186"/>
      <c r="W186"/>
      <c r="X186"/>
      <c r="Y186"/>
      <c r="Z186"/>
    </row>
    <row r="187" spans="2:26" x14ac:dyDescent="0.25"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U187"/>
      <c r="V187"/>
      <c r="W187"/>
      <c r="X187"/>
      <c r="Y187"/>
      <c r="Z187"/>
    </row>
    <row r="188" spans="2:26" x14ac:dyDescent="0.25"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U188"/>
      <c r="V188"/>
      <c r="W188"/>
      <c r="X188"/>
      <c r="Y188"/>
      <c r="Z188"/>
    </row>
    <row r="189" spans="2:26" x14ac:dyDescent="0.25"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U189"/>
      <c r="V189"/>
      <c r="W189"/>
      <c r="X189"/>
      <c r="Y189"/>
      <c r="Z189"/>
    </row>
    <row r="190" spans="2:26" x14ac:dyDescent="0.25"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U190"/>
      <c r="V190"/>
      <c r="W190"/>
      <c r="X190"/>
      <c r="Y190"/>
      <c r="Z190"/>
    </row>
    <row r="191" spans="2:26" x14ac:dyDescent="0.25"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U191"/>
      <c r="V191"/>
      <c r="W191"/>
      <c r="X191"/>
      <c r="Y191"/>
      <c r="Z191"/>
    </row>
    <row r="192" spans="2:26" x14ac:dyDescent="0.25"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U192"/>
      <c r="V192"/>
      <c r="W192"/>
      <c r="X192"/>
      <c r="Y192"/>
      <c r="Z192"/>
    </row>
    <row r="193" spans="3:26" x14ac:dyDescent="0.25"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U193"/>
      <c r="V193"/>
      <c r="W193"/>
      <c r="X193"/>
      <c r="Y193"/>
      <c r="Z193"/>
    </row>
    <row r="194" spans="3:26" x14ac:dyDescent="0.25"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U194"/>
      <c r="V194"/>
      <c r="W194"/>
      <c r="X194"/>
      <c r="Y194"/>
      <c r="Z194"/>
    </row>
    <row r="195" spans="3:26" x14ac:dyDescent="0.25"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U195"/>
      <c r="V195"/>
      <c r="W195"/>
      <c r="X195"/>
      <c r="Y195"/>
      <c r="Z195"/>
    </row>
    <row r="196" spans="3:26" x14ac:dyDescent="0.25"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U196"/>
      <c r="V196"/>
      <c r="W196"/>
      <c r="X196"/>
      <c r="Y196"/>
      <c r="Z196"/>
    </row>
    <row r="197" spans="3:26" x14ac:dyDescent="0.25"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U197"/>
      <c r="V197"/>
      <c r="W197"/>
      <c r="X197"/>
      <c r="Y197"/>
      <c r="Z197"/>
    </row>
    <row r="198" spans="3:26" x14ac:dyDescent="0.25"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U198"/>
      <c r="V198"/>
      <c r="W198"/>
      <c r="X198"/>
      <c r="Y198"/>
      <c r="Z198"/>
    </row>
    <row r="199" spans="3:26" x14ac:dyDescent="0.25"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U199"/>
      <c r="V199"/>
      <c r="W199"/>
      <c r="X199"/>
      <c r="Y199"/>
      <c r="Z199"/>
    </row>
    <row r="200" spans="3:26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U200"/>
      <c r="V200"/>
      <c r="W200"/>
      <c r="X200"/>
      <c r="Y200"/>
      <c r="Z200"/>
    </row>
    <row r="201" spans="3:26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U201"/>
      <c r="V201"/>
      <c r="W201"/>
      <c r="X201"/>
      <c r="Y201"/>
      <c r="Z201"/>
    </row>
    <row r="202" spans="3:26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U202"/>
      <c r="V202"/>
      <c r="W202"/>
      <c r="X202"/>
      <c r="Y202"/>
      <c r="Z202"/>
    </row>
    <row r="203" spans="3:26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U203"/>
      <c r="V203"/>
      <c r="W203"/>
      <c r="X203"/>
      <c r="Y203"/>
      <c r="Z203"/>
    </row>
    <row r="204" spans="3:26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U204"/>
      <c r="V204"/>
      <c r="W204"/>
      <c r="X204"/>
      <c r="Y204"/>
      <c r="Z204"/>
    </row>
    <row r="205" spans="3:26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U205"/>
      <c r="V205"/>
      <c r="W205"/>
      <c r="X205"/>
      <c r="Y205"/>
      <c r="Z205"/>
    </row>
    <row r="206" spans="3:26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U206"/>
      <c r="V206"/>
      <c r="W206"/>
      <c r="X206"/>
      <c r="Y206"/>
      <c r="Z206"/>
    </row>
    <row r="207" spans="3:26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U207"/>
      <c r="V207"/>
      <c r="W207"/>
      <c r="X207"/>
      <c r="Y207"/>
      <c r="Z207"/>
    </row>
    <row r="208" spans="3:26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X208"/>
      <c r="Y208"/>
      <c r="Z208"/>
    </row>
    <row r="209" spans="3:26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X209"/>
      <c r="Y209"/>
      <c r="Z209"/>
    </row>
    <row r="210" spans="3:26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X210"/>
      <c r="Y210"/>
      <c r="Z210"/>
    </row>
    <row r="211" spans="3:26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X211"/>
      <c r="Y211"/>
      <c r="Z211"/>
    </row>
    <row r="212" spans="3:26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X212"/>
      <c r="Y212"/>
      <c r="Z212"/>
    </row>
    <row r="213" spans="3:26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X213"/>
      <c r="Y213"/>
      <c r="Z213"/>
    </row>
    <row r="214" spans="3:26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X214"/>
      <c r="Y214"/>
      <c r="Z214"/>
    </row>
    <row r="215" spans="3:26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X215"/>
      <c r="Y215"/>
      <c r="Z215"/>
    </row>
    <row r="216" spans="3:26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X216"/>
      <c r="Y216"/>
      <c r="Z216"/>
    </row>
    <row r="217" spans="3:26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X217"/>
      <c r="Y217"/>
      <c r="Z217"/>
    </row>
    <row r="218" spans="3:26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X218"/>
      <c r="Y218"/>
      <c r="Z218"/>
    </row>
    <row r="219" spans="3:26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X219"/>
      <c r="Y219"/>
      <c r="Z219"/>
    </row>
    <row r="220" spans="3:26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X220"/>
      <c r="Y220"/>
      <c r="Z220"/>
    </row>
    <row r="221" spans="3:26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X221"/>
      <c r="Y221"/>
      <c r="Z221"/>
    </row>
    <row r="222" spans="3:26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X222"/>
      <c r="Y222"/>
      <c r="Z222"/>
    </row>
    <row r="223" spans="3:26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X223"/>
      <c r="Y223"/>
      <c r="Z223"/>
    </row>
    <row r="224" spans="3:26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X224"/>
      <c r="Y224"/>
      <c r="Z224"/>
    </row>
    <row r="225" spans="3:26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X225"/>
      <c r="Y225"/>
      <c r="Z225"/>
    </row>
    <row r="226" spans="3:26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X226"/>
      <c r="Y226"/>
      <c r="Z226"/>
    </row>
    <row r="227" spans="3:26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X227"/>
      <c r="Y227"/>
      <c r="Z227"/>
    </row>
    <row r="228" spans="3:26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X228"/>
      <c r="Y228"/>
      <c r="Z228"/>
    </row>
    <row r="229" spans="3:26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X229"/>
      <c r="Y229"/>
      <c r="Z229"/>
    </row>
    <row r="230" spans="3:26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X230"/>
      <c r="Y230"/>
      <c r="Z230"/>
    </row>
    <row r="231" spans="3:26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X231"/>
      <c r="Y231"/>
      <c r="Z231"/>
    </row>
    <row r="232" spans="3:26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X232"/>
      <c r="Y232"/>
      <c r="Z232"/>
    </row>
    <row r="233" spans="3:26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X233"/>
      <c r="Y233"/>
      <c r="Z233"/>
    </row>
    <row r="234" spans="3:26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X234"/>
      <c r="Y234"/>
      <c r="Z234"/>
    </row>
    <row r="235" spans="3:26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X235"/>
      <c r="Y235"/>
      <c r="Z235"/>
    </row>
    <row r="236" spans="3:26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X236"/>
      <c r="Y236"/>
      <c r="Z236"/>
    </row>
    <row r="237" spans="3:26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X237"/>
      <c r="Y237"/>
      <c r="Z237"/>
    </row>
    <row r="238" spans="3:26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X238"/>
      <c r="Y238"/>
      <c r="Z238"/>
    </row>
    <row r="239" spans="3:26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X239"/>
      <c r="Y239"/>
      <c r="Z239"/>
    </row>
    <row r="240" spans="3:26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X240"/>
      <c r="Y240"/>
      <c r="Z240"/>
    </row>
    <row r="241" spans="3:26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X241"/>
      <c r="Y241"/>
      <c r="Z241"/>
    </row>
    <row r="242" spans="3:26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X242"/>
      <c r="Y242"/>
      <c r="Z242"/>
    </row>
    <row r="243" spans="3:26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X243"/>
      <c r="Y243"/>
      <c r="Z243"/>
    </row>
    <row r="244" spans="3:26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U244"/>
      <c r="V244"/>
      <c r="W244"/>
      <c r="X244"/>
      <c r="Y244"/>
      <c r="Z244"/>
    </row>
    <row r="245" spans="3:26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U245"/>
      <c r="V245"/>
      <c r="W245"/>
      <c r="X245"/>
      <c r="Y245"/>
      <c r="Z245"/>
    </row>
    <row r="246" spans="3:26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U246"/>
      <c r="V246"/>
      <c r="W246"/>
      <c r="X246"/>
      <c r="Y246"/>
      <c r="Z246"/>
    </row>
    <row r="247" spans="3:26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U247"/>
      <c r="V247"/>
      <c r="W247"/>
      <c r="X247"/>
      <c r="Y247"/>
      <c r="Z247"/>
    </row>
    <row r="248" spans="3:26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U248"/>
      <c r="V248"/>
      <c r="W248"/>
      <c r="X248"/>
      <c r="Y248"/>
      <c r="Z248"/>
    </row>
    <row r="249" spans="3:26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U249"/>
      <c r="V249"/>
      <c r="W249"/>
      <c r="X249"/>
      <c r="Y249"/>
      <c r="Z249"/>
    </row>
    <row r="250" spans="3:26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U250"/>
      <c r="V250"/>
      <c r="W250"/>
      <c r="X250"/>
      <c r="Y250"/>
      <c r="Z250"/>
    </row>
    <row r="251" spans="3:26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U251"/>
      <c r="V251"/>
      <c r="W251"/>
      <c r="X251"/>
      <c r="Y251"/>
      <c r="Z251"/>
    </row>
    <row r="252" spans="3:26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U252"/>
      <c r="V252"/>
      <c r="W252"/>
      <c r="X252"/>
      <c r="Y252"/>
      <c r="Z252"/>
    </row>
    <row r="253" spans="3:26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U253"/>
      <c r="V253"/>
      <c r="W253"/>
      <c r="X253"/>
      <c r="Y253"/>
      <c r="Z253"/>
    </row>
    <row r="254" spans="3:26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U254"/>
      <c r="V254"/>
      <c r="W254"/>
      <c r="X254"/>
      <c r="Y254"/>
      <c r="Z254"/>
    </row>
    <row r="255" spans="3:26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U255"/>
      <c r="V255"/>
      <c r="W255"/>
      <c r="X255"/>
      <c r="Y255"/>
      <c r="Z255"/>
    </row>
    <row r="256" spans="3:26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U256"/>
      <c r="V256"/>
      <c r="W256"/>
      <c r="X256"/>
      <c r="Y256"/>
      <c r="Z256"/>
    </row>
    <row r="257" spans="3:26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U257"/>
      <c r="V257"/>
      <c r="W257"/>
      <c r="X257"/>
      <c r="Y257"/>
      <c r="Z257"/>
    </row>
    <row r="258" spans="3:26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U258"/>
      <c r="V258"/>
      <c r="W258"/>
      <c r="X258"/>
      <c r="Y258"/>
      <c r="Z258"/>
    </row>
    <row r="259" spans="3:26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U259"/>
      <c r="V259"/>
      <c r="W259"/>
      <c r="X259"/>
      <c r="Y259"/>
      <c r="Z259"/>
    </row>
    <row r="260" spans="3:26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U260"/>
      <c r="V260"/>
      <c r="W260"/>
      <c r="X260"/>
      <c r="Y260"/>
      <c r="Z260"/>
    </row>
    <row r="261" spans="3:26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U261"/>
      <c r="V261"/>
      <c r="W261"/>
      <c r="X261"/>
      <c r="Y261"/>
      <c r="Z261"/>
    </row>
    <row r="262" spans="3:26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U262"/>
      <c r="V262"/>
      <c r="W262"/>
      <c r="X262"/>
      <c r="Y262"/>
      <c r="Z262"/>
    </row>
    <row r="263" spans="3:26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U263"/>
      <c r="V263"/>
      <c r="W263"/>
      <c r="X263"/>
      <c r="Y263"/>
      <c r="Z263"/>
    </row>
    <row r="264" spans="3:26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U264"/>
      <c r="V264"/>
      <c r="W264"/>
      <c r="X264"/>
      <c r="Y264"/>
      <c r="Z264"/>
    </row>
    <row r="265" spans="3:26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U265"/>
      <c r="V265"/>
      <c r="W265"/>
      <c r="X265"/>
      <c r="Y265"/>
      <c r="Z265"/>
    </row>
    <row r="266" spans="3:26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U266"/>
      <c r="V266"/>
      <c r="W266"/>
      <c r="X266"/>
      <c r="Y266"/>
      <c r="Z266"/>
    </row>
    <row r="267" spans="3:26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U267"/>
      <c r="V267"/>
      <c r="W267"/>
      <c r="X267"/>
      <c r="Y267"/>
      <c r="Z267"/>
    </row>
    <row r="268" spans="3:26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U268"/>
      <c r="V268"/>
      <c r="W268"/>
      <c r="X268"/>
      <c r="Y268"/>
      <c r="Z268"/>
    </row>
    <row r="269" spans="3:26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U269"/>
      <c r="V269"/>
      <c r="W269"/>
      <c r="X269"/>
      <c r="Y269"/>
      <c r="Z269"/>
    </row>
    <row r="270" spans="3:26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U270"/>
      <c r="V270"/>
      <c r="W270"/>
      <c r="X270"/>
      <c r="Y270"/>
      <c r="Z270"/>
    </row>
    <row r="271" spans="3:26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U271"/>
      <c r="V271"/>
      <c r="W271"/>
      <c r="X271"/>
      <c r="Y271"/>
      <c r="Z271"/>
    </row>
    <row r="272" spans="3:26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U272"/>
      <c r="V272"/>
      <c r="W272"/>
      <c r="X272"/>
      <c r="Y272"/>
      <c r="Z272"/>
    </row>
    <row r="273" spans="3:26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U273"/>
      <c r="V273"/>
      <c r="W273"/>
      <c r="X273"/>
      <c r="Y273"/>
      <c r="Z273"/>
    </row>
    <row r="274" spans="3:26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U274"/>
      <c r="V274"/>
      <c r="W274"/>
      <c r="X274"/>
      <c r="Y274"/>
      <c r="Z274"/>
    </row>
    <row r="275" spans="3:26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U275"/>
      <c r="V275"/>
      <c r="W275"/>
      <c r="X275"/>
      <c r="Y275"/>
      <c r="Z275"/>
    </row>
    <row r="276" spans="3:26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U276"/>
      <c r="V276"/>
      <c r="W276"/>
      <c r="X276"/>
      <c r="Y276"/>
      <c r="Z276"/>
    </row>
    <row r="277" spans="3:26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U277"/>
      <c r="V277"/>
      <c r="W277"/>
      <c r="X277"/>
      <c r="Y277"/>
      <c r="Z277"/>
    </row>
    <row r="278" spans="3:26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U278"/>
      <c r="V278"/>
      <c r="W278"/>
      <c r="X278"/>
      <c r="Y278"/>
      <c r="Z278"/>
    </row>
    <row r="279" spans="3:26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U279"/>
      <c r="V279"/>
      <c r="W279"/>
      <c r="X279"/>
      <c r="Y279"/>
      <c r="Z279"/>
    </row>
    <row r="280" spans="3:26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U280"/>
      <c r="V280"/>
      <c r="W280"/>
      <c r="X280"/>
      <c r="Y280"/>
      <c r="Z280"/>
    </row>
    <row r="281" spans="3:26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U281"/>
      <c r="V281"/>
      <c r="W281"/>
      <c r="X281"/>
      <c r="Y281"/>
      <c r="Z281"/>
    </row>
    <row r="282" spans="3:26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U282"/>
      <c r="V282"/>
      <c r="W282"/>
      <c r="X282"/>
      <c r="Y282"/>
      <c r="Z282"/>
    </row>
    <row r="283" spans="3:26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U283"/>
      <c r="V283"/>
      <c r="W283"/>
      <c r="X283"/>
      <c r="Y283"/>
      <c r="Z283"/>
    </row>
    <row r="284" spans="3:26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U284"/>
      <c r="V284"/>
      <c r="W284"/>
      <c r="X284"/>
      <c r="Y284"/>
      <c r="Z284"/>
    </row>
    <row r="285" spans="3:26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U285"/>
      <c r="V285"/>
      <c r="W285"/>
      <c r="X285"/>
      <c r="Y285"/>
      <c r="Z285"/>
    </row>
    <row r="286" spans="3:26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U286"/>
      <c r="V286"/>
      <c r="W286"/>
      <c r="X286"/>
      <c r="Y286"/>
      <c r="Z286"/>
    </row>
    <row r="287" spans="3:26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U287"/>
      <c r="V287"/>
      <c r="W287"/>
      <c r="X287"/>
      <c r="Y287"/>
      <c r="Z287"/>
    </row>
    <row r="288" spans="3:26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U288"/>
      <c r="V288"/>
      <c r="W288"/>
      <c r="X288"/>
      <c r="Y288"/>
      <c r="Z288"/>
    </row>
    <row r="289" spans="3:26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U289"/>
      <c r="V289"/>
      <c r="W289"/>
      <c r="X289"/>
      <c r="Y289"/>
      <c r="Z289"/>
    </row>
    <row r="290" spans="3:26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U290"/>
      <c r="V290"/>
      <c r="W290"/>
      <c r="X290"/>
      <c r="Y290"/>
      <c r="Z290"/>
    </row>
    <row r="291" spans="3:26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U291"/>
      <c r="V291"/>
      <c r="W291"/>
      <c r="X291"/>
      <c r="Y291"/>
      <c r="Z291"/>
    </row>
    <row r="292" spans="3:26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U292"/>
      <c r="V292"/>
      <c r="W292"/>
      <c r="X292"/>
      <c r="Y292"/>
      <c r="Z292"/>
    </row>
    <row r="293" spans="3:26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U293"/>
      <c r="V293"/>
      <c r="W293"/>
      <c r="X293"/>
      <c r="Y293"/>
      <c r="Z293"/>
    </row>
    <row r="294" spans="3:26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U294"/>
      <c r="V294"/>
      <c r="W294"/>
      <c r="X294"/>
      <c r="Y294"/>
      <c r="Z294"/>
    </row>
    <row r="295" spans="3:26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U295"/>
      <c r="V295"/>
      <c r="W295"/>
      <c r="X295"/>
      <c r="Y295"/>
      <c r="Z295"/>
    </row>
    <row r="296" spans="3:26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U296"/>
      <c r="V296"/>
      <c r="W296"/>
      <c r="X296"/>
      <c r="Y296"/>
      <c r="Z296"/>
    </row>
    <row r="297" spans="3:26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U297"/>
      <c r="V297"/>
      <c r="W297"/>
      <c r="X297"/>
      <c r="Y297"/>
      <c r="Z297"/>
    </row>
    <row r="298" spans="3:26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U298"/>
      <c r="V298"/>
      <c r="W298"/>
      <c r="X298"/>
      <c r="Y298"/>
      <c r="Z298"/>
    </row>
    <row r="299" spans="3:26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U299"/>
      <c r="V299"/>
      <c r="W299"/>
      <c r="X299"/>
      <c r="Y299"/>
      <c r="Z299"/>
    </row>
    <row r="300" spans="3:26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U300"/>
      <c r="V300"/>
      <c r="W300"/>
      <c r="X300"/>
      <c r="Y300"/>
      <c r="Z300"/>
    </row>
    <row r="301" spans="3:26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U301"/>
      <c r="V301"/>
      <c r="W301"/>
      <c r="X301"/>
      <c r="Y301"/>
      <c r="Z301"/>
    </row>
    <row r="302" spans="3:26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U302"/>
      <c r="V302"/>
      <c r="W302"/>
      <c r="X302"/>
      <c r="Y302"/>
      <c r="Z302"/>
    </row>
    <row r="303" spans="3:26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U303"/>
      <c r="V303"/>
      <c r="W303"/>
      <c r="X303"/>
      <c r="Y303"/>
      <c r="Z303"/>
    </row>
    <row r="304" spans="3:26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U304"/>
      <c r="V304"/>
      <c r="W304"/>
      <c r="X304"/>
      <c r="Y304"/>
      <c r="Z304"/>
    </row>
    <row r="305" spans="3:26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U305"/>
      <c r="V305"/>
      <c r="W305"/>
      <c r="X305"/>
      <c r="Y305"/>
      <c r="Z305"/>
    </row>
    <row r="306" spans="3:26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U306"/>
      <c r="V306"/>
      <c r="W306"/>
      <c r="X306"/>
      <c r="Y306"/>
      <c r="Z306"/>
    </row>
    <row r="307" spans="3:26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U307"/>
      <c r="V307"/>
      <c r="W307"/>
      <c r="X307"/>
      <c r="Y307"/>
      <c r="Z307"/>
    </row>
    <row r="308" spans="3:26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U308"/>
      <c r="V308"/>
      <c r="W308"/>
      <c r="X308"/>
      <c r="Y308"/>
      <c r="Z308"/>
    </row>
    <row r="309" spans="3:26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U309"/>
      <c r="V309"/>
      <c r="W309"/>
      <c r="X309"/>
      <c r="Y309"/>
      <c r="Z309"/>
    </row>
    <row r="310" spans="3:26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U310"/>
      <c r="V310"/>
      <c r="W310"/>
      <c r="X310"/>
      <c r="Y310"/>
      <c r="Z310"/>
    </row>
    <row r="311" spans="3:26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U311"/>
      <c r="V311"/>
      <c r="W311"/>
      <c r="X311"/>
      <c r="Y311"/>
      <c r="Z311"/>
    </row>
    <row r="312" spans="3:26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U312"/>
      <c r="V312"/>
      <c r="W312"/>
      <c r="X312"/>
      <c r="Y312"/>
      <c r="Z312"/>
    </row>
    <row r="313" spans="3:26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U313"/>
      <c r="V313"/>
      <c r="W313"/>
      <c r="X313"/>
      <c r="Y313"/>
      <c r="Z313"/>
    </row>
    <row r="314" spans="3:26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U314"/>
      <c r="V314"/>
      <c r="W314"/>
      <c r="X314"/>
      <c r="Y314"/>
      <c r="Z314"/>
    </row>
    <row r="315" spans="3:26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U315"/>
      <c r="V315"/>
      <c r="W315"/>
      <c r="X315"/>
      <c r="Y315"/>
      <c r="Z315"/>
    </row>
    <row r="316" spans="3:26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U316"/>
      <c r="V316"/>
      <c r="W316"/>
      <c r="X316"/>
      <c r="Y316"/>
      <c r="Z316"/>
    </row>
    <row r="317" spans="3:26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U317"/>
      <c r="V317"/>
      <c r="W317"/>
      <c r="X317"/>
      <c r="Y317"/>
      <c r="Z317"/>
    </row>
    <row r="318" spans="3:26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U318"/>
      <c r="V318"/>
      <c r="W318"/>
      <c r="X318"/>
      <c r="Y318"/>
      <c r="Z318"/>
    </row>
    <row r="319" spans="3:26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U319"/>
      <c r="V319"/>
      <c r="W319"/>
      <c r="X319"/>
      <c r="Y319"/>
      <c r="Z319"/>
    </row>
    <row r="320" spans="3:26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U320"/>
      <c r="V320"/>
      <c r="W320"/>
      <c r="X320"/>
      <c r="Y320"/>
      <c r="Z320"/>
    </row>
    <row r="321" spans="3:26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U321"/>
      <c r="V321"/>
      <c r="W321"/>
      <c r="X321"/>
      <c r="Y321"/>
      <c r="Z321"/>
    </row>
    <row r="322" spans="3:26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U322"/>
      <c r="V322"/>
      <c r="W322"/>
      <c r="X322"/>
      <c r="Y322"/>
      <c r="Z322"/>
    </row>
    <row r="323" spans="3:26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U323"/>
      <c r="V323"/>
      <c r="W323"/>
      <c r="X323"/>
      <c r="Y323"/>
      <c r="Z323"/>
    </row>
    <row r="324" spans="3:26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U324"/>
      <c r="V324"/>
      <c r="W324"/>
      <c r="X324"/>
      <c r="Y324"/>
      <c r="Z324"/>
    </row>
    <row r="325" spans="3:26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U325"/>
      <c r="V325"/>
      <c r="W325"/>
      <c r="X325"/>
      <c r="Y325"/>
      <c r="Z325"/>
    </row>
    <row r="326" spans="3:26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U326"/>
      <c r="V326"/>
      <c r="W326"/>
      <c r="X326"/>
      <c r="Y326"/>
      <c r="Z326"/>
    </row>
    <row r="327" spans="3:26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U327"/>
      <c r="V327"/>
      <c r="W327"/>
      <c r="X327"/>
      <c r="Y327"/>
      <c r="Z327"/>
    </row>
    <row r="328" spans="3:26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U328"/>
      <c r="V328"/>
      <c r="W328"/>
      <c r="X328"/>
      <c r="Y328"/>
      <c r="Z328"/>
    </row>
    <row r="329" spans="3:26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U329"/>
      <c r="V329"/>
      <c r="W329"/>
      <c r="X329"/>
      <c r="Y329"/>
      <c r="Z329"/>
    </row>
    <row r="330" spans="3:26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U330"/>
      <c r="V330"/>
      <c r="W330"/>
      <c r="X330"/>
      <c r="Y330"/>
      <c r="Z330"/>
    </row>
    <row r="331" spans="3:26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U331"/>
      <c r="V331"/>
      <c r="W331"/>
      <c r="X331"/>
      <c r="Y331"/>
      <c r="Z331"/>
    </row>
    <row r="332" spans="3:26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U332"/>
      <c r="V332"/>
      <c r="W332"/>
      <c r="X332"/>
      <c r="Y332"/>
      <c r="Z332"/>
    </row>
    <row r="333" spans="3:26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U333"/>
      <c r="V333"/>
      <c r="W333"/>
      <c r="X333"/>
      <c r="Y333"/>
      <c r="Z333"/>
    </row>
    <row r="334" spans="3:26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U334"/>
      <c r="V334"/>
      <c r="W334"/>
      <c r="X334"/>
      <c r="Y334"/>
      <c r="Z334"/>
    </row>
    <row r="335" spans="3:26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U335"/>
      <c r="V335"/>
      <c r="W335"/>
      <c r="X335"/>
      <c r="Y335"/>
      <c r="Z335"/>
    </row>
    <row r="336" spans="3:26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U336"/>
      <c r="V336"/>
      <c r="W336"/>
      <c r="X336"/>
      <c r="Y336"/>
      <c r="Z336"/>
    </row>
    <row r="337" spans="3:26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U337"/>
      <c r="V337"/>
      <c r="W337"/>
      <c r="X337"/>
      <c r="Y337"/>
      <c r="Z337"/>
    </row>
    <row r="338" spans="3:26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U338"/>
      <c r="V338"/>
      <c r="W338"/>
      <c r="X338"/>
      <c r="Y338"/>
      <c r="Z338"/>
    </row>
    <row r="339" spans="3:26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U339"/>
      <c r="V339"/>
      <c r="W339"/>
      <c r="X339"/>
      <c r="Y339"/>
      <c r="Z339"/>
    </row>
    <row r="340" spans="3:26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U340"/>
      <c r="V340"/>
      <c r="W340"/>
      <c r="X340"/>
      <c r="Y340"/>
      <c r="Z340"/>
    </row>
    <row r="341" spans="3:26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U341"/>
      <c r="V341"/>
      <c r="W341"/>
      <c r="X341"/>
      <c r="Y341"/>
      <c r="Z341"/>
    </row>
    <row r="342" spans="3:26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U342"/>
      <c r="V342"/>
      <c r="W342"/>
      <c r="X342"/>
      <c r="Y342"/>
      <c r="Z342"/>
    </row>
    <row r="343" spans="3:26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U343"/>
      <c r="V343"/>
      <c r="W343"/>
      <c r="X343"/>
      <c r="Y343"/>
      <c r="Z343"/>
    </row>
    <row r="344" spans="3:26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U344"/>
      <c r="V344"/>
      <c r="W344"/>
      <c r="X344"/>
      <c r="Y344"/>
      <c r="Z344"/>
    </row>
    <row r="345" spans="3:26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U345"/>
      <c r="V345"/>
      <c r="W345"/>
      <c r="X345"/>
      <c r="Y345"/>
      <c r="Z345"/>
    </row>
    <row r="346" spans="3:26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U346"/>
      <c r="V346"/>
      <c r="W346"/>
      <c r="X346"/>
      <c r="Y346"/>
      <c r="Z346"/>
    </row>
    <row r="347" spans="3:26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U347"/>
      <c r="V347"/>
      <c r="W347"/>
      <c r="X347"/>
      <c r="Y347"/>
      <c r="Z347"/>
    </row>
    <row r="348" spans="3:26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U348"/>
      <c r="V348"/>
      <c r="W348"/>
      <c r="X348"/>
      <c r="Y348"/>
      <c r="Z348"/>
    </row>
    <row r="349" spans="3:26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U349"/>
      <c r="V349"/>
      <c r="W349"/>
      <c r="X349"/>
      <c r="Y349"/>
      <c r="Z349"/>
    </row>
    <row r="350" spans="3:26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U350"/>
      <c r="V350"/>
      <c r="W350"/>
      <c r="X350"/>
      <c r="Y350"/>
      <c r="Z350"/>
    </row>
    <row r="351" spans="3:26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U351"/>
      <c r="V351"/>
      <c r="W351"/>
      <c r="X351"/>
      <c r="Y351"/>
      <c r="Z351"/>
    </row>
    <row r="352" spans="3:26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U352"/>
      <c r="V352"/>
      <c r="W352"/>
      <c r="X352"/>
      <c r="Y352"/>
      <c r="Z352"/>
    </row>
    <row r="353" spans="3:26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U353"/>
      <c r="V353"/>
      <c r="W353"/>
      <c r="X353"/>
      <c r="Y353"/>
      <c r="Z353"/>
    </row>
    <row r="354" spans="3:26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U354"/>
      <c r="V354"/>
      <c r="W354"/>
      <c r="X354"/>
      <c r="Y354"/>
      <c r="Z354"/>
    </row>
    <row r="355" spans="3:26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U355"/>
      <c r="V355"/>
      <c r="W355"/>
      <c r="X355"/>
      <c r="Y355"/>
      <c r="Z355"/>
    </row>
    <row r="356" spans="3:26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U356"/>
      <c r="V356"/>
      <c r="W356"/>
      <c r="X356"/>
      <c r="Y356"/>
      <c r="Z356"/>
    </row>
    <row r="357" spans="3:26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U357"/>
      <c r="V357"/>
      <c r="W357"/>
      <c r="X357"/>
      <c r="Y357"/>
      <c r="Z357"/>
    </row>
    <row r="358" spans="3:26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U358"/>
      <c r="V358"/>
      <c r="W358"/>
      <c r="X358"/>
      <c r="Y358"/>
      <c r="Z358"/>
    </row>
    <row r="359" spans="3:26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U359"/>
      <c r="V359"/>
      <c r="W359"/>
      <c r="X359"/>
      <c r="Y359"/>
      <c r="Z359"/>
    </row>
    <row r="360" spans="3:26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U360"/>
      <c r="V360"/>
      <c r="W360"/>
      <c r="X360"/>
      <c r="Y360"/>
      <c r="Z360"/>
    </row>
    <row r="361" spans="3:26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U361"/>
      <c r="V361"/>
      <c r="W361"/>
      <c r="X361"/>
      <c r="Y361"/>
      <c r="Z361"/>
    </row>
    <row r="362" spans="3:26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U362"/>
      <c r="V362"/>
      <c r="W362"/>
      <c r="X362"/>
      <c r="Y362"/>
      <c r="Z362"/>
    </row>
    <row r="363" spans="3:26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U363"/>
      <c r="V363"/>
      <c r="W363"/>
      <c r="X363"/>
      <c r="Y363"/>
      <c r="Z363"/>
    </row>
    <row r="364" spans="3:26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U364"/>
      <c r="V364"/>
      <c r="W364"/>
      <c r="X364"/>
      <c r="Y364"/>
      <c r="Z364"/>
    </row>
    <row r="365" spans="3:26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U365"/>
      <c r="V365"/>
      <c r="W365"/>
      <c r="X365"/>
      <c r="Y365"/>
      <c r="Z365"/>
    </row>
    <row r="366" spans="3:26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U366"/>
      <c r="V366"/>
      <c r="W366"/>
      <c r="X366"/>
      <c r="Y366"/>
      <c r="Z366"/>
    </row>
    <row r="367" spans="3:26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U367"/>
      <c r="V367"/>
      <c r="W367"/>
      <c r="X367"/>
      <c r="Y367"/>
      <c r="Z367"/>
    </row>
    <row r="368" spans="3:26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U368"/>
      <c r="V368"/>
      <c r="W368"/>
      <c r="X368"/>
      <c r="Y368"/>
      <c r="Z368"/>
    </row>
    <row r="369" spans="3:26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U369"/>
      <c r="V369"/>
      <c r="W369"/>
      <c r="X369"/>
      <c r="Y369"/>
      <c r="Z369"/>
    </row>
    <row r="370" spans="3:26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U370"/>
      <c r="V370"/>
      <c r="W370"/>
      <c r="X370"/>
      <c r="Y370"/>
      <c r="Z370"/>
    </row>
    <row r="371" spans="3:26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U371"/>
      <c r="V371"/>
      <c r="W371"/>
      <c r="X371"/>
      <c r="Y371"/>
      <c r="Z371"/>
    </row>
    <row r="372" spans="3:26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U372"/>
      <c r="V372"/>
      <c r="W372"/>
      <c r="X372"/>
      <c r="Y372"/>
      <c r="Z372"/>
    </row>
    <row r="373" spans="3:26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U373"/>
      <c r="V373"/>
      <c r="W373"/>
      <c r="X373"/>
      <c r="Y373"/>
      <c r="Z373"/>
    </row>
    <row r="374" spans="3:26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U374"/>
      <c r="V374"/>
      <c r="W374"/>
      <c r="X374"/>
      <c r="Y374"/>
      <c r="Z374"/>
    </row>
    <row r="375" spans="3:26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U375"/>
      <c r="V375"/>
      <c r="W375"/>
      <c r="X375"/>
      <c r="Y375"/>
      <c r="Z375"/>
    </row>
    <row r="376" spans="3:26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U376"/>
      <c r="V376"/>
      <c r="W376"/>
      <c r="X376"/>
      <c r="Y376"/>
      <c r="Z376"/>
    </row>
    <row r="377" spans="3:26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U377"/>
      <c r="V377"/>
      <c r="W377"/>
      <c r="X377"/>
      <c r="Y377"/>
      <c r="Z377"/>
    </row>
    <row r="378" spans="3:26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U378"/>
      <c r="V378"/>
      <c r="W378"/>
      <c r="X378"/>
      <c r="Y378"/>
      <c r="Z378"/>
    </row>
    <row r="379" spans="3:26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U379"/>
      <c r="V379"/>
      <c r="W379"/>
      <c r="X379"/>
      <c r="Y379"/>
      <c r="Z379"/>
    </row>
    <row r="380" spans="3:26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U380"/>
      <c r="V380"/>
      <c r="W380"/>
      <c r="X380"/>
      <c r="Y380"/>
      <c r="Z380"/>
    </row>
    <row r="381" spans="3:26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U381"/>
      <c r="V381"/>
      <c r="W381"/>
      <c r="X381"/>
      <c r="Y381"/>
      <c r="Z381"/>
    </row>
    <row r="382" spans="3:26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U382"/>
      <c r="V382"/>
      <c r="W382"/>
      <c r="X382"/>
      <c r="Y382"/>
      <c r="Z382"/>
    </row>
    <row r="383" spans="3:26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U383"/>
      <c r="V383"/>
      <c r="W383"/>
      <c r="X383"/>
      <c r="Y383"/>
      <c r="Z383"/>
    </row>
    <row r="384" spans="3:26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U384"/>
      <c r="V384"/>
      <c r="W384"/>
      <c r="X384"/>
      <c r="Y384"/>
      <c r="Z384"/>
    </row>
    <row r="385" spans="3:26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U385"/>
      <c r="V385"/>
      <c r="W385"/>
      <c r="X385"/>
      <c r="Y385"/>
      <c r="Z385"/>
    </row>
    <row r="386" spans="3:26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U386"/>
      <c r="V386"/>
      <c r="W386"/>
      <c r="X386"/>
      <c r="Y386"/>
      <c r="Z386"/>
    </row>
    <row r="387" spans="3:26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U387"/>
      <c r="V387"/>
      <c r="W387"/>
      <c r="X387"/>
      <c r="Y387"/>
      <c r="Z387"/>
    </row>
    <row r="388" spans="3:26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U388"/>
      <c r="V388"/>
      <c r="W388"/>
      <c r="X388"/>
      <c r="Y388"/>
      <c r="Z388"/>
    </row>
    <row r="389" spans="3:26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U389"/>
      <c r="V389"/>
      <c r="W389"/>
      <c r="X389"/>
      <c r="Y389"/>
      <c r="Z389"/>
    </row>
    <row r="390" spans="3:26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U390"/>
      <c r="V390"/>
      <c r="W390"/>
      <c r="X390"/>
      <c r="Y390"/>
      <c r="Z390"/>
    </row>
    <row r="391" spans="3:26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U391"/>
      <c r="V391"/>
      <c r="W391"/>
      <c r="X391"/>
      <c r="Y391"/>
      <c r="Z391"/>
    </row>
    <row r="392" spans="3:26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U392"/>
      <c r="V392"/>
      <c r="W392"/>
      <c r="X392"/>
      <c r="Y392"/>
      <c r="Z392"/>
    </row>
    <row r="393" spans="3:26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U393"/>
      <c r="V393"/>
      <c r="W393"/>
      <c r="X393"/>
      <c r="Y393"/>
      <c r="Z393"/>
    </row>
    <row r="394" spans="3:26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U394"/>
      <c r="V394"/>
      <c r="W394"/>
      <c r="X394"/>
      <c r="Y394"/>
      <c r="Z394"/>
    </row>
    <row r="395" spans="3:26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U395"/>
      <c r="V395"/>
      <c r="W395"/>
      <c r="X395"/>
      <c r="Y395"/>
      <c r="Z395"/>
    </row>
    <row r="396" spans="3:26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U396"/>
      <c r="V396"/>
      <c r="W396"/>
      <c r="X396"/>
      <c r="Y396"/>
      <c r="Z396"/>
    </row>
    <row r="397" spans="3:26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U397"/>
      <c r="V397"/>
      <c r="W397"/>
      <c r="X397"/>
      <c r="Y397"/>
      <c r="Z397"/>
    </row>
    <row r="398" spans="3:26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U398"/>
      <c r="V398"/>
      <c r="W398"/>
      <c r="X398"/>
      <c r="Y398"/>
      <c r="Z398"/>
    </row>
    <row r="399" spans="3:26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U399"/>
      <c r="V399"/>
      <c r="W399"/>
      <c r="X399"/>
      <c r="Y399"/>
      <c r="Z399"/>
    </row>
    <row r="400" spans="3:26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U400"/>
      <c r="V400"/>
      <c r="W400"/>
      <c r="X400"/>
      <c r="Y400"/>
      <c r="Z400"/>
    </row>
    <row r="401" spans="3:26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U401"/>
      <c r="V401"/>
      <c r="W401"/>
      <c r="X401"/>
      <c r="Y401"/>
      <c r="Z401"/>
    </row>
    <row r="402" spans="3:26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U402"/>
      <c r="V402"/>
      <c r="W402"/>
      <c r="X402"/>
      <c r="Y402"/>
      <c r="Z402"/>
    </row>
    <row r="403" spans="3:26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U403"/>
      <c r="V403"/>
      <c r="W403"/>
      <c r="X403"/>
      <c r="Y403"/>
      <c r="Z403"/>
    </row>
    <row r="404" spans="3:26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U404"/>
      <c r="V404"/>
      <c r="W404"/>
      <c r="X404"/>
      <c r="Y404"/>
      <c r="Z404"/>
    </row>
    <row r="405" spans="3:26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U405"/>
      <c r="V405"/>
      <c r="W405"/>
      <c r="X405"/>
      <c r="Y405"/>
      <c r="Z405"/>
    </row>
    <row r="406" spans="3:26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U406"/>
      <c r="V406"/>
      <c r="W406"/>
      <c r="X406"/>
      <c r="Y406"/>
      <c r="Z406"/>
    </row>
    <row r="407" spans="3:26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U407"/>
      <c r="V407"/>
      <c r="W407"/>
      <c r="X407"/>
      <c r="Y407"/>
      <c r="Z407"/>
    </row>
    <row r="408" spans="3:26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U408"/>
      <c r="V408"/>
      <c r="W408"/>
      <c r="X408"/>
      <c r="Y408"/>
      <c r="Z408"/>
    </row>
    <row r="409" spans="3:26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U409"/>
      <c r="V409"/>
      <c r="W409"/>
      <c r="X409"/>
      <c r="Y409"/>
      <c r="Z409"/>
    </row>
    <row r="410" spans="3:26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U410"/>
      <c r="V410"/>
      <c r="W410"/>
      <c r="X410"/>
      <c r="Y410"/>
      <c r="Z410"/>
    </row>
    <row r="411" spans="3:26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U411"/>
      <c r="V411"/>
      <c r="W411"/>
      <c r="X411"/>
      <c r="Y411"/>
      <c r="Z411"/>
    </row>
    <row r="412" spans="3:26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U412"/>
      <c r="V412"/>
      <c r="W412"/>
      <c r="X412"/>
      <c r="Y412"/>
      <c r="Z412"/>
    </row>
    <row r="413" spans="3:26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U413"/>
      <c r="V413"/>
      <c r="W413"/>
      <c r="X413"/>
      <c r="Y413"/>
      <c r="Z413"/>
    </row>
    <row r="414" spans="3:26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U414"/>
      <c r="V414"/>
      <c r="W414"/>
      <c r="X414"/>
      <c r="Y414"/>
      <c r="Z414"/>
    </row>
    <row r="415" spans="3:26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U415"/>
      <c r="V415"/>
      <c r="W415"/>
      <c r="X415"/>
      <c r="Y415"/>
      <c r="Z415"/>
    </row>
    <row r="416" spans="3:26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U416"/>
      <c r="V416"/>
      <c r="W416"/>
      <c r="X416"/>
      <c r="Y416"/>
      <c r="Z416"/>
    </row>
    <row r="417" spans="3:26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U417"/>
      <c r="V417"/>
      <c r="W417"/>
      <c r="X417"/>
      <c r="Y417"/>
      <c r="Z417"/>
    </row>
    <row r="418" spans="3:26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U418"/>
      <c r="V418"/>
      <c r="W418"/>
      <c r="X418"/>
      <c r="Y418"/>
      <c r="Z418"/>
    </row>
    <row r="419" spans="3:26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U419"/>
      <c r="V419"/>
      <c r="W419"/>
      <c r="X419"/>
      <c r="Y419"/>
      <c r="Z419"/>
    </row>
    <row r="420" spans="3:26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U420"/>
      <c r="V420"/>
      <c r="W420"/>
      <c r="X420"/>
      <c r="Y420"/>
      <c r="Z420"/>
    </row>
    <row r="421" spans="3:26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U421"/>
      <c r="V421"/>
      <c r="W421"/>
      <c r="X421"/>
      <c r="Y421"/>
      <c r="Z421"/>
    </row>
    <row r="422" spans="3:26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U422"/>
      <c r="V422"/>
      <c r="W422"/>
      <c r="X422"/>
      <c r="Y422"/>
      <c r="Z422"/>
    </row>
    <row r="423" spans="3:26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U423"/>
      <c r="V423"/>
      <c r="W423"/>
      <c r="X423"/>
      <c r="Y423"/>
      <c r="Z423"/>
    </row>
    <row r="424" spans="3:26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U424"/>
      <c r="V424"/>
      <c r="W424"/>
      <c r="X424"/>
      <c r="Y424"/>
      <c r="Z424"/>
    </row>
    <row r="425" spans="3:26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U425"/>
      <c r="V425"/>
      <c r="W425"/>
      <c r="X425"/>
      <c r="Y425"/>
      <c r="Z425"/>
    </row>
    <row r="426" spans="3:26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U426"/>
      <c r="V426"/>
      <c r="W426"/>
      <c r="X426"/>
      <c r="Y426"/>
      <c r="Z426"/>
    </row>
    <row r="427" spans="3:26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U427"/>
      <c r="V427"/>
      <c r="W427"/>
      <c r="X427"/>
      <c r="Y427"/>
      <c r="Z427"/>
    </row>
    <row r="428" spans="3:26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U428"/>
      <c r="V428"/>
      <c r="W428"/>
      <c r="X428"/>
      <c r="Y428"/>
      <c r="Z428"/>
    </row>
    <row r="429" spans="3:26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U429"/>
      <c r="V429"/>
      <c r="W429"/>
      <c r="X429"/>
      <c r="Y429"/>
      <c r="Z429"/>
    </row>
    <row r="430" spans="3:26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U430"/>
      <c r="V430"/>
      <c r="W430"/>
      <c r="X430"/>
      <c r="Y430"/>
      <c r="Z430"/>
    </row>
    <row r="431" spans="3:26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U431"/>
      <c r="V431"/>
      <c r="W431"/>
      <c r="X431"/>
      <c r="Y431"/>
      <c r="Z431"/>
    </row>
    <row r="432" spans="3:26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U432"/>
      <c r="V432"/>
      <c r="W432"/>
      <c r="X432"/>
      <c r="Y432"/>
      <c r="Z432"/>
    </row>
    <row r="433" spans="3:26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U433"/>
      <c r="V433"/>
      <c r="W433"/>
      <c r="X433"/>
      <c r="Y433"/>
      <c r="Z433"/>
    </row>
    <row r="434" spans="3:26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U434"/>
      <c r="V434"/>
      <c r="W434"/>
      <c r="X434"/>
      <c r="Y434"/>
      <c r="Z434"/>
    </row>
    <row r="435" spans="3:26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U435"/>
      <c r="V435"/>
      <c r="W435"/>
      <c r="X435"/>
      <c r="Y435"/>
      <c r="Z435"/>
    </row>
    <row r="436" spans="3:26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U436"/>
      <c r="V436"/>
      <c r="W436"/>
      <c r="X436"/>
      <c r="Y436"/>
      <c r="Z436"/>
    </row>
    <row r="437" spans="3:26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U437"/>
      <c r="V437"/>
      <c r="W437"/>
      <c r="X437"/>
      <c r="Y437"/>
      <c r="Z437"/>
    </row>
    <row r="438" spans="3:26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U438"/>
      <c r="V438"/>
      <c r="W438"/>
      <c r="X438"/>
      <c r="Y438"/>
      <c r="Z438"/>
    </row>
    <row r="439" spans="3:26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U439"/>
      <c r="V439"/>
      <c r="W439"/>
      <c r="X439"/>
      <c r="Y439"/>
      <c r="Z439"/>
    </row>
    <row r="440" spans="3:26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U440"/>
      <c r="V440"/>
      <c r="W440"/>
      <c r="X440"/>
      <c r="Y440"/>
      <c r="Z440"/>
    </row>
    <row r="441" spans="3:26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U441"/>
      <c r="V441"/>
      <c r="W441"/>
      <c r="X441"/>
      <c r="Y441"/>
      <c r="Z441"/>
    </row>
    <row r="442" spans="3:26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U442"/>
      <c r="V442"/>
      <c r="W442"/>
      <c r="X442"/>
      <c r="Y442"/>
      <c r="Z442"/>
    </row>
    <row r="443" spans="3:26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U443"/>
      <c r="V443"/>
      <c r="W443"/>
      <c r="X443"/>
      <c r="Y443"/>
      <c r="Z443"/>
    </row>
    <row r="444" spans="3:26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U444"/>
      <c r="V444"/>
      <c r="W444"/>
      <c r="X444"/>
      <c r="Y444"/>
      <c r="Z444"/>
    </row>
    <row r="445" spans="3:26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U445"/>
      <c r="V445"/>
      <c r="W445"/>
      <c r="X445"/>
      <c r="Y445"/>
      <c r="Z445"/>
    </row>
    <row r="446" spans="3:26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U446"/>
      <c r="V446"/>
      <c r="W446"/>
      <c r="X446"/>
      <c r="Y446"/>
      <c r="Z446"/>
    </row>
    <row r="447" spans="3:26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U447"/>
      <c r="V447"/>
      <c r="W447"/>
      <c r="X447"/>
      <c r="Y447"/>
      <c r="Z447"/>
    </row>
    <row r="448" spans="3:26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U448"/>
      <c r="V448"/>
      <c r="W448"/>
      <c r="X448"/>
      <c r="Y448"/>
      <c r="Z448"/>
    </row>
    <row r="449" spans="3:26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U449"/>
      <c r="V449"/>
      <c r="W449"/>
      <c r="X449"/>
      <c r="Y449"/>
      <c r="Z449"/>
    </row>
    <row r="450" spans="3:26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U450"/>
      <c r="V450"/>
      <c r="W450"/>
      <c r="X450"/>
      <c r="Y450"/>
      <c r="Z450"/>
    </row>
    <row r="451" spans="3:26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U451"/>
      <c r="V451"/>
      <c r="W451"/>
      <c r="X451"/>
      <c r="Y451"/>
      <c r="Z451"/>
    </row>
    <row r="452" spans="3:26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U452"/>
      <c r="V452"/>
      <c r="W452"/>
      <c r="X452"/>
      <c r="Y452"/>
      <c r="Z452"/>
    </row>
    <row r="453" spans="3:26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U453"/>
      <c r="V453"/>
      <c r="W453"/>
      <c r="X453"/>
      <c r="Y453"/>
      <c r="Z453"/>
    </row>
    <row r="454" spans="3:26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U454"/>
      <c r="V454"/>
      <c r="W454"/>
      <c r="X454"/>
      <c r="Y454"/>
      <c r="Z454"/>
    </row>
    <row r="455" spans="3:26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U455"/>
      <c r="V455"/>
      <c r="W455"/>
      <c r="X455"/>
      <c r="Y455"/>
      <c r="Z455"/>
    </row>
    <row r="456" spans="3:26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U456"/>
      <c r="V456"/>
      <c r="W456"/>
      <c r="X456"/>
      <c r="Y456"/>
      <c r="Z456"/>
    </row>
    <row r="457" spans="3:26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U457"/>
      <c r="V457"/>
      <c r="W457"/>
      <c r="X457"/>
      <c r="Y457"/>
      <c r="Z457"/>
    </row>
    <row r="458" spans="3:26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U458"/>
      <c r="V458"/>
      <c r="W458"/>
      <c r="X458"/>
      <c r="Y458"/>
      <c r="Z458"/>
    </row>
    <row r="459" spans="3:26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U459"/>
      <c r="V459"/>
      <c r="W459"/>
      <c r="X459"/>
      <c r="Y459"/>
      <c r="Z459"/>
    </row>
    <row r="460" spans="3:26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U460"/>
      <c r="V460"/>
      <c r="W460"/>
      <c r="X460"/>
      <c r="Y460"/>
      <c r="Z460"/>
    </row>
    <row r="461" spans="3:26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U461"/>
      <c r="V461"/>
      <c r="W461"/>
      <c r="X461"/>
      <c r="Y461"/>
      <c r="Z461"/>
    </row>
    <row r="462" spans="3:26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U462"/>
      <c r="V462"/>
      <c r="W462"/>
      <c r="X462"/>
      <c r="Y462"/>
      <c r="Z462"/>
    </row>
    <row r="463" spans="3:26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U463"/>
      <c r="V463"/>
      <c r="W463"/>
      <c r="X463"/>
      <c r="Y463"/>
      <c r="Z463"/>
    </row>
    <row r="464" spans="3:26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U464"/>
      <c r="V464"/>
      <c r="W464"/>
      <c r="X464"/>
      <c r="Y464"/>
      <c r="Z464"/>
    </row>
    <row r="465" spans="3:26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U465"/>
      <c r="V465"/>
      <c r="W465"/>
      <c r="X465"/>
      <c r="Y465"/>
      <c r="Z465"/>
    </row>
    <row r="466" spans="3:26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U466"/>
      <c r="V466"/>
      <c r="W466"/>
      <c r="X466"/>
      <c r="Y466"/>
      <c r="Z466"/>
    </row>
    <row r="467" spans="3:26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U467"/>
      <c r="V467"/>
      <c r="W467"/>
      <c r="X467"/>
      <c r="Y467"/>
      <c r="Z467"/>
    </row>
    <row r="468" spans="3:26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U468"/>
      <c r="V468"/>
      <c r="W468"/>
      <c r="X468"/>
      <c r="Y468"/>
      <c r="Z468"/>
    </row>
    <row r="469" spans="3:26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U469"/>
      <c r="V469"/>
      <c r="W469"/>
      <c r="X469"/>
      <c r="Y469"/>
      <c r="Z469"/>
    </row>
    <row r="470" spans="3:26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U470"/>
      <c r="V470"/>
      <c r="W470"/>
      <c r="X470"/>
      <c r="Y470"/>
      <c r="Z470"/>
    </row>
    <row r="471" spans="3:26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U471"/>
      <c r="V471"/>
      <c r="W471"/>
      <c r="X471"/>
      <c r="Y471"/>
      <c r="Z471"/>
    </row>
    <row r="472" spans="3:26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U472"/>
      <c r="V472"/>
      <c r="W472"/>
      <c r="X472"/>
      <c r="Y472"/>
      <c r="Z472"/>
    </row>
    <row r="473" spans="3:26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U473"/>
      <c r="V473"/>
      <c r="W473"/>
      <c r="X473"/>
      <c r="Y473"/>
      <c r="Z473"/>
    </row>
    <row r="474" spans="3:26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U474"/>
      <c r="V474"/>
      <c r="W474"/>
      <c r="X474"/>
      <c r="Y474"/>
      <c r="Z474"/>
    </row>
    <row r="475" spans="3:26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U475"/>
      <c r="V475"/>
      <c r="W475"/>
      <c r="X475"/>
      <c r="Y475"/>
      <c r="Z475"/>
    </row>
    <row r="476" spans="3:26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U476"/>
      <c r="V476"/>
      <c r="W476"/>
      <c r="X476"/>
      <c r="Y476"/>
      <c r="Z476"/>
    </row>
    <row r="477" spans="3:26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U477"/>
      <c r="V477"/>
      <c r="W477"/>
      <c r="X477"/>
      <c r="Y477"/>
      <c r="Z477"/>
    </row>
    <row r="478" spans="3:26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U478"/>
      <c r="V478"/>
      <c r="W478"/>
      <c r="X478"/>
      <c r="Y478"/>
      <c r="Z478"/>
    </row>
    <row r="479" spans="3:26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U479"/>
      <c r="V479"/>
      <c r="W479"/>
      <c r="X479"/>
      <c r="Y479"/>
      <c r="Z479"/>
    </row>
    <row r="480" spans="3:26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U480"/>
      <c r="V480"/>
      <c r="W480"/>
      <c r="X480"/>
      <c r="Y480"/>
      <c r="Z480"/>
    </row>
    <row r="481" spans="3:26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U481"/>
      <c r="V481"/>
      <c r="W481"/>
      <c r="X481"/>
      <c r="Y481"/>
      <c r="Z481"/>
    </row>
    <row r="482" spans="3:26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U482"/>
      <c r="V482"/>
      <c r="W482"/>
      <c r="X482"/>
      <c r="Y482"/>
      <c r="Z482"/>
    </row>
    <row r="483" spans="3:26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U483"/>
      <c r="V483"/>
      <c r="W483"/>
      <c r="X483"/>
      <c r="Y483"/>
      <c r="Z483"/>
    </row>
    <row r="484" spans="3:26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U484"/>
      <c r="V484"/>
      <c r="W484"/>
      <c r="X484"/>
      <c r="Y484"/>
      <c r="Z484"/>
    </row>
    <row r="485" spans="3:26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U485"/>
      <c r="V485"/>
      <c r="W485"/>
      <c r="X485"/>
      <c r="Y485"/>
      <c r="Z485"/>
    </row>
    <row r="486" spans="3:26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U486"/>
      <c r="V486"/>
      <c r="W486"/>
      <c r="X486"/>
      <c r="Y486"/>
      <c r="Z486"/>
    </row>
    <row r="487" spans="3:26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U487"/>
      <c r="V487"/>
      <c r="W487"/>
      <c r="X487"/>
      <c r="Y487"/>
      <c r="Z487"/>
    </row>
    <row r="488" spans="3:26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U488"/>
      <c r="V488"/>
      <c r="W488"/>
      <c r="X488"/>
      <c r="Y488"/>
      <c r="Z488"/>
    </row>
    <row r="489" spans="3:26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U489"/>
      <c r="V489"/>
      <c r="W489"/>
      <c r="X489"/>
      <c r="Y489"/>
      <c r="Z489"/>
    </row>
    <row r="490" spans="3:26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U490"/>
      <c r="V490"/>
      <c r="W490"/>
      <c r="X490"/>
      <c r="Y490"/>
      <c r="Z490"/>
    </row>
    <row r="491" spans="3:26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U491"/>
      <c r="V491"/>
      <c r="W491"/>
      <c r="X491"/>
      <c r="Y491"/>
      <c r="Z491"/>
    </row>
    <row r="492" spans="3:26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U492"/>
      <c r="V492"/>
      <c r="W492"/>
      <c r="X492"/>
      <c r="Y492"/>
      <c r="Z492"/>
    </row>
    <row r="493" spans="3:26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U493"/>
      <c r="V493"/>
      <c r="W493"/>
      <c r="X493"/>
      <c r="Y493"/>
      <c r="Z493"/>
    </row>
    <row r="494" spans="3:26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U494"/>
      <c r="V494"/>
      <c r="W494"/>
      <c r="X494"/>
      <c r="Y494"/>
      <c r="Z494"/>
    </row>
    <row r="495" spans="3:26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U495"/>
      <c r="V495"/>
      <c r="W495"/>
      <c r="X495"/>
      <c r="Y495"/>
      <c r="Z495"/>
    </row>
    <row r="496" spans="3:26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U496"/>
      <c r="V496"/>
      <c r="W496"/>
      <c r="X496"/>
      <c r="Y496"/>
      <c r="Z496"/>
    </row>
    <row r="497" spans="3:26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U497"/>
      <c r="V497"/>
      <c r="W497"/>
      <c r="X497"/>
      <c r="Y497"/>
      <c r="Z497"/>
    </row>
    <row r="498" spans="3:26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U498"/>
      <c r="V498"/>
      <c r="W498"/>
      <c r="X498"/>
      <c r="Y498"/>
      <c r="Z498"/>
    </row>
    <row r="499" spans="3:26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U499"/>
      <c r="V499"/>
      <c r="W499"/>
      <c r="X499"/>
      <c r="Y499"/>
      <c r="Z499"/>
    </row>
    <row r="500" spans="3:26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U500"/>
      <c r="V500"/>
      <c r="W500"/>
      <c r="X500"/>
      <c r="Y500"/>
      <c r="Z500"/>
    </row>
    <row r="501" spans="3:26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U501"/>
      <c r="V501"/>
      <c r="W501"/>
      <c r="X501"/>
      <c r="Y501"/>
      <c r="Z501"/>
    </row>
    <row r="502" spans="3:26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U502"/>
      <c r="V502"/>
      <c r="W502"/>
      <c r="X502"/>
      <c r="Y502"/>
      <c r="Z502"/>
    </row>
    <row r="503" spans="3:26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U503"/>
      <c r="V503"/>
      <c r="W503"/>
      <c r="X503"/>
      <c r="Y503"/>
      <c r="Z503"/>
    </row>
    <row r="504" spans="3:26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U504"/>
      <c r="V504"/>
      <c r="W504"/>
      <c r="X504"/>
      <c r="Y504"/>
      <c r="Z504"/>
    </row>
    <row r="505" spans="3:26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U505"/>
      <c r="V505"/>
      <c r="W505"/>
      <c r="X505"/>
      <c r="Y505"/>
      <c r="Z505"/>
    </row>
    <row r="506" spans="3:26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U506"/>
      <c r="V506"/>
      <c r="W506"/>
      <c r="X506"/>
      <c r="Y506"/>
      <c r="Z506"/>
    </row>
    <row r="507" spans="3:26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U507"/>
      <c r="V507"/>
      <c r="W507"/>
      <c r="X507"/>
      <c r="Y507"/>
      <c r="Z507"/>
    </row>
    <row r="508" spans="3:26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U508"/>
      <c r="V508"/>
      <c r="W508"/>
      <c r="X508"/>
      <c r="Y508"/>
      <c r="Z508"/>
    </row>
    <row r="509" spans="3:26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U509"/>
      <c r="V509"/>
      <c r="W509"/>
      <c r="X509"/>
      <c r="Y509"/>
      <c r="Z509"/>
    </row>
    <row r="510" spans="3:26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U510"/>
      <c r="V510"/>
      <c r="W510"/>
      <c r="X510"/>
      <c r="Y510"/>
      <c r="Z510"/>
    </row>
    <row r="511" spans="3:26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U511"/>
      <c r="V511"/>
      <c r="W511"/>
      <c r="X511"/>
      <c r="Y511"/>
      <c r="Z511"/>
    </row>
    <row r="512" spans="3:26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U512"/>
      <c r="V512"/>
      <c r="W512"/>
      <c r="X512"/>
      <c r="Y512"/>
      <c r="Z512"/>
    </row>
    <row r="513" spans="3:26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U513"/>
      <c r="V513"/>
      <c r="W513"/>
      <c r="X513"/>
      <c r="Y513"/>
      <c r="Z513"/>
    </row>
    <row r="514" spans="3:26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U514"/>
      <c r="V514"/>
      <c r="W514"/>
      <c r="X514"/>
      <c r="Y514"/>
      <c r="Z514"/>
    </row>
    <row r="515" spans="3:26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U515"/>
      <c r="V515"/>
      <c r="W515"/>
      <c r="X515"/>
      <c r="Y515"/>
      <c r="Z515"/>
    </row>
    <row r="516" spans="3:26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U516"/>
      <c r="V516"/>
      <c r="W516"/>
      <c r="X516"/>
      <c r="Y516"/>
      <c r="Z516"/>
    </row>
    <row r="517" spans="3:26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U517"/>
      <c r="V517"/>
      <c r="W517"/>
      <c r="X517"/>
      <c r="Y517"/>
      <c r="Z517"/>
    </row>
    <row r="518" spans="3:26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U518"/>
      <c r="V518"/>
      <c r="W518"/>
      <c r="X518"/>
      <c r="Y518"/>
      <c r="Z518"/>
    </row>
    <row r="519" spans="3:26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U519"/>
      <c r="V519"/>
      <c r="W519"/>
      <c r="X519"/>
      <c r="Y519"/>
      <c r="Z519"/>
    </row>
    <row r="520" spans="3:26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U520"/>
      <c r="V520"/>
      <c r="W520"/>
      <c r="X520"/>
      <c r="Y520"/>
      <c r="Z520"/>
    </row>
    <row r="521" spans="3:26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U521"/>
      <c r="V521"/>
      <c r="W521"/>
      <c r="X521"/>
      <c r="Y521"/>
      <c r="Z521"/>
    </row>
    <row r="522" spans="3:26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U522"/>
      <c r="V522"/>
      <c r="W522"/>
      <c r="X522"/>
      <c r="Y522"/>
      <c r="Z522"/>
    </row>
    <row r="523" spans="3:26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U523"/>
      <c r="V523"/>
      <c r="W523"/>
      <c r="X523"/>
      <c r="Y523"/>
      <c r="Z523"/>
    </row>
    <row r="524" spans="3:26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U524"/>
      <c r="V524"/>
      <c r="W524"/>
      <c r="X524"/>
      <c r="Y524"/>
      <c r="Z524"/>
    </row>
    <row r="525" spans="3:26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U525"/>
      <c r="V525"/>
      <c r="W525"/>
      <c r="X525"/>
      <c r="Y525"/>
      <c r="Z525"/>
    </row>
    <row r="526" spans="3:26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U526"/>
      <c r="V526"/>
      <c r="W526"/>
      <c r="X526"/>
      <c r="Y526"/>
      <c r="Z526"/>
    </row>
    <row r="527" spans="3:26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U527"/>
      <c r="V527"/>
      <c r="W527"/>
      <c r="X527"/>
      <c r="Y527"/>
      <c r="Z527"/>
    </row>
    <row r="528" spans="3:26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U528"/>
      <c r="V528"/>
      <c r="W528"/>
      <c r="X528"/>
      <c r="Y528"/>
      <c r="Z528"/>
    </row>
    <row r="529" spans="3:26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U529"/>
      <c r="V529"/>
      <c r="W529"/>
      <c r="X529"/>
      <c r="Y529"/>
      <c r="Z529"/>
    </row>
    <row r="530" spans="3:26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U530"/>
      <c r="V530"/>
      <c r="W530"/>
      <c r="X530"/>
      <c r="Y530"/>
      <c r="Z530"/>
    </row>
    <row r="531" spans="3:26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U531"/>
      <c r="V531"/>
      <c r="W531"/>
      <c r="X531"/>
      <c r="Y531"/>
      <c r="Z531"/>
    </row>
    <row r="532" spans="3:26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U532"/>
      <c r="V532"/>
      <c r="W532"/>
      <c r="X532"/>
      <c r="Y532"/>
      <c r="Z532"/>
    </row>
    <row r="533" spans="3:26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U533"/>
      <c r="V533"/>
      <c r="W533"/>
      <c r="X533"/>
      <c r="Y533"/>
      <c r="Z533"/>
    </row>
    <row r="534" spans="3:26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U534"/>
      <c r="V534"/>
      <c r="W534"/>
      <c r="X534"/>
      <c r="Y534"/>
      <c r="Z534"/>
    </row>
    <row r="535" spans="3:26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U535"/>
      <c r="V535"/>
      <c r="W535"/>
      <c r="X535"/>
      <c r="Y535"/>
      <c r="Z535"/>
    </row>
    <row r="536" spans="3:26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U536"/>
      <c r="V536"/>
      <c r="W536"/>
      <c r="X536"/>
      <c r="Y536"/>
      <c r="Z536"/>
    </row>
    <row r="537" spans="3:26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U537"/>
      <c r="V537"/>
      <c r="W537"/>
      <c r="X537"/>
      <c r="Y537"/>
      <c r="Z537"/>
    </row>
    <row r="538" spans="3:26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U538"/>
      <c r="V538"/>
      <c r="W538"/>
      <c r="X538"/>
      <c r="Y538"/>
      <c r="Z538"/>
    </row>
    <row r="539" spans="3:26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U539"/>
      <c r="V539"/>
      <c r="W539"/>
      <c r="X539"/>
      <c r="Y539"/>
      <c r="Z539"/>
    </row>
    <row r="540" spans="3:26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U540"/>
      <c r="V540"/>
      <c r="W540"/>
      <c r="X540"/>
      <c r="Y540"/>
      <c r="Z540"/>
    </row>
    <row r="541" spans="3:26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U541"/>
      <c r="V541"/>
      <c r="W541"/>
      <c r="X541"/>
      <c r="Y541"/>
      <c r="Z541"/>
    </row>
    <row r="542" spans="3:26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U542"/>
      <c r="V542"/>
      <c r="W542"/>
      <c r="X542"/>
      <c r="Y542"/>
      <c r="Z542"/>
    </row>
    <row r="543" spans="3:26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U543"/>
      <c r="V543"/>
      <c r="W543"/>
      <c r="X543"/>
      <c r="Y543"/>
      <c r="Z543"/>
    </row>
    <row r="544" spans="3:26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U544"/>
      <c r="V544"/>
      <c r="W544"/>
      <c r="X544"/>
      <c r="Y544"/>
      <c r="Z544"/>
    </row>
    <row r="545" spans="3:26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U545"/>
      <c r="V545"/>
      <c r="W545"/>
      <c r="X545"/>
      <c r="Y545"/>
      <c r="Z545"/>
    </row>
    <row r="546" spans="3:26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U546"/>
      <c r="V546"/>
      <c r="W546"/>
      <c r="X546"/>
      <c r="Y546"/>
      <c r="Z546"/>
    </row>
    <row r="547" spans="3:26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U547"/>
      <c r="V547"/>
      <c r="W547"/>
      <c r="X547"/>
      <c r="Y547"/>
      <c r="Z547"/>
    </row>
    <row r="548" spans="3:26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U548"/>
      <c r="V548"/>
      <c r="W548"/>
      <c r="X548"/>
      <c r="Y548"/>
      <c r="Z548"/>
    </row>
    <row r="549" spans="3:26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U549"/>
      <c r="V549"/>
      <c r="W549"/>
      <c r="X549"/>
      <c r="Y549"/>
      <c r="Z549"/>
    </row>
    <row r="550" spans="3:26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U550"/>
      <c r="V550"/>
      <c r="W550"/>
      <c r="X550"/>
      <c r="Y550"/>
      <c r="Z550"/>
    </row>
    <row r="551" spans="3:26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U551"/>
      <c r="V551"/>
      <c r="W551"/>
      <c r="X551"/>
      <c r="Y551"/>
      <c r="Z551"/>
    </row>
    <row r="552" spans="3:26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U552"/>
      <c r="V552"/>
      <c r="W552"/>
      <c r="X552"/>
      <c r="Y552"/>
      <c r="Z552"/>
    </row>
    <row r="553" spans="3:26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U553"/>
      <c r="V553"/>
      <c r="W553"/>
      <c r="X553"/>
      <c r="Y553"/>
      <c r="Z553"/>
    </row>
    <row r="554" spans="3:26" x14ac:dyDescent="0.25">
      <c r="C554"/>
      <c r="D554"/>
      <c r="E554"/>
      <c r="F554"/>
      <c r="G554"/>
      <c r="H554"/>
      <c r="J554"/>
      <c r="K554"/>
      <c r="L554"/>
      <c r="M554"/>
      <c r="N554"/>
      <c r="O554"/>
      <c r="P554"/>
      <c r="Q554"/>
      <c r="R554"/>
      <c r="S554"/>
      <c r="U554"/>
      <c r="V554"/>
      <c r="W554"/>
      <c r="X554"/>
      <c r="Y554"/>
      <c r="Z554"/>
    </row>
    <row r="555" spans="3:26" x14ac:dyDescent="0.25">
      <c r="C555"/>
      <c r="D555"/>
      <c r="E555"/>
      <c r="F555"/>
      <c r="G555"/>
      <c r="H555"/>
      <c r="J555"/>
      <c r="K555"/>
      <c r="L555"/>
      <c r="M555"/>
      <c r="N555"/>
      <c r="O555"/>
      <c r="P555"/>
      <c r="Q555"/>
      <c r="R555"/>
      <c r="S555"/>
      <c r="U555"/>
      <c r="V555"/>
      <c r="W555"/>
      <c r="X555"/>
      <c r="Y555"/>
      <c r="Z555"/>
    </row>
    <row r="556" spans="3:26" x14ac:dyDescent="0.25">
      <c r="C556"/>
      <c r="D556"/>
      <c r="E556"/>
      <c r="F556"/>
      <c r="G556"/>
      <c r="H556"/>
      <c r="J556"/>
      <c r="K556"/>
      <c r="L556"/>
      <c r="M556"/>
      <c r="N556"/>
      <c r="O556"/>
      <c r="P556"/>
      <c r="Q556"/>
      <c r="R556"/>
      <c r="S556"/>
      <c r="U556"/>
      <c r="V556"/>
      <c r="W556"/>
      <c r="X556"/>
      <c r="Y556"/>
      <c r="Z556"/>
    </row>
    <row r="557" spans="3:26" x14ac:dyDescent="0.25">
      <c r="C557"/>
      <c r="D557"/>
      <c r="E557"/>
      <c r="F557"/>
      <c r="G557"/>
      <c r="H557"/>
      <c r="J557"/>
      <c r="K557"/>
      <c r="L557"/>
      <c r="M557"/>
      <c r="N557"/>
      <c r="O557"/>
      <c r="P557"/>
      <c r="Q557"/>
      <c r="R557"/>
      <c r="S557"/>
      <c r="U557"/>
      <c r="V557"/>
      <c r="W557"/>
      <c r="X557"/>
      <c r="Y557"/>
      <c r="Z557"/>
    </row>
    <row r="558" spans="3:26" x14ac:dyDescent="0.25">
      <c r="C558"/>
      <c r="D558"/>
      <c r="E558"/>
      <c r="F558"/>
      <c r="G558"/>
      <c r="H558"/>
      <c r="J558"/>
      <c r="K558"/>
      <c r="L558"/>
      <c r="M558"/>
      <c r="N558"/>
      <c r="O558"/>
      <c r="P558"/>
      <c r="Q558"/>
      <c r="R558"/>
      <c r="S558"/>
      <c r="U558"/>
      <c r="V558"/>
      <c r="W558"/>
      <c r="X558"/>
      <c r="Y558"/>
      <c r="Z558"/>
    </row>
    <row r="559" spans="3:26" x14ac:dyDescent="0.25">
      <c r="C559"/>
      <c r="D559"/>
      <c r="E559"/>
      <c r="F559"/>
      <c r="G559"/>
      <c r="H559"/>
      <c r="J559"/>
      <c r="K559"/>
      <c r="L559"/>
      <c r="M559"/>
      <c r="N559"/>
      <c r="O559"/>
      <c r="P559"/>
      <c r="Q559"/>
      <c r="R559"/>
      <c r="S559"/>
      <c r="U559"/>
      <c r="V559"/>
      <c r="W559"/>
      <c r="X559"/>
      <c r="Y559"/>
      <c r="Z559"/>
    </row>
    <row r="560" spans="3:26" x14ac:dyDescent="0.25">
      <c r="C560"/>
      <c r="D560"/>
      <c r="E560"/>
      <c r="F560"/>
      <c r="G560"/>
      <c r="H560"/>
      <c r="J560"/>
      <c r="K560"/>
      <c r="L560"/>
      <c r="M560"/>
      <c r="N560"/>
      <c r="O560"/>
      <c r="P560"/>
      <c r="Q560"/>
      <c r="R560"/>
      <c r="S560"/>
      <c r="U560"/>
      <c r="V560"/>
      <c r="W560"/>
      <c r="X560"/>
      <c r="Y560"/>
      <c r="Z560"/>
    </row>
    <row r="561" spans="3:26" x14ac:dyDescent="0.25">
      <c r="C561"/>
      <c r="D561"/>
      <c r="E561"/>
      <c r="F561"/>
      <c r="G561"/>
      <c r="H561"/>
      <c r="J561"/>
      <c r="K561"/>
      <c r="L561"/>
      <c r="M561"/>
      <c r="N561"/>
      <c r="O561"/>
      <c r="P561"/>
      <c r="Q561"/>
      <c r="R561"/>
      <c r="S561"/>
      <c r="U561"/>
      <c r="V561"/>
      <c r="W561"/>
      <c r="X561"/>
      <c r="Y561"/>
      <c r="Z561"/>
    </row>
    <row r="562" spans="3:26" x14ac:dyDescent="0.25">
      <c r="C562"/>
      <c r="D562"/>
      <c r="E562"/>
      <c r="F562"/>
      <c r="G562"/>
      <c r="H562"/>
      <c r="J562"/>
      <c r="K562"/>
      <c r="L562"/>
      <c r="M562"/>
      <c r="N562"/>
      <c r="O562"/>
      <c r="P562"/>
      <c r="Q562"/>
      <c r="R562"/>
      <c r="S562"/>
      <c r="U562"/>
      <c r="V562"/>
      <c r="W562"/>
      <c r="X562"/>
      <c r="Y562"/>
      <c r="Z562"/>
    </row>
    <row r="563" spans="3:26" x14ac:dyDescent="0.25">
      <c r="C563"/>
      <c r="D563"/>
      <c r="E563"/>
      <c r="F563"/>
      <c r="G563"/>
      <c r="H563"/>
      <c r="J563"/>
      <c r="K563"/>
      <c r="L563"/>
      <c r="M563"/>
      <c r="N563"/>
      <c r="O563"/>
      <c r="P563"/>
      <c r="Q563"/>
      <c r="R563"/>
      <c r="S563"/>
      <c r="U563"/>
      <c r="V563"/>
      <c r="W563"/>
      <c r="X563"/>
      <c r="Y563"/>
      <c r="Z563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2025-12-14T13:47:17Z</dcterms:modified>
</cp:coreProperties>
</file>